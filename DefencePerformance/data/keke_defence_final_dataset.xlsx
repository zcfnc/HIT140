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e339d4abf744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nal_Data" sheetId="1" r:id="Rbefc2b4e0a6845f8"/>
    <x:sheet xmlns:r="http://schemas.openxmlformats.org/officeDocument/2006/relationships" name="FBref_Matches" sheetId="2" r:id="Rf0263f4f04664f29"/>
    <x:sheet xmlns:r="http://schemas.openxmlformats.org/officeDocument/2006/relationships" name="FIFA_Team_Data" sheetId="3" r:id="R6001f73c4369409a"/>
    <x:sheet xmlns:r="http://schemas.openxmlformats.org/officeDocument/2006/relationships" name="README" sheetId="4" r:id="R79ab8ca1e07241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%"/>
    <x:numFmt numFmtId="203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203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9b5e274bf6406e" /><Relationship Type="http://schemas.openxmlformats.org/officeDocument/2006/relationships/theme" Target="/xl/theme/theme1.xml" Id="R9087a54108b84b80" /><Relationship Type="http://schemas.openxmlformats.org/officeDocument/2006/relationships/sharedStrings" Target="/xl/sharedStrings.xml" Id="Rf0326eca1a454695" /><Relationship Type="http://schemas.openxmlformats.org/officeDocument/2006/relationships/worksheet" Target="/xl/worksheets/sheet1.xml" Id="Rbefc2b4e0a6845f8" /><Relationship Type="http://schemas.openxmlformats.org/officeDocument/2006/relationships/worksheet" Target="/xl/worksheets/sheet2.xml" Id="Rf0263f4f04664f29" /><Relationship Type="http://schemas.openxmlformats.org/officeDocument/2006/relationships/worksheet" Target="/xl/worksheets/sheet3.xml" Id="R6001f73c4369409a" /><Relationship Type="http://schemas.openxmlformats.org/officeDocument/2006/relationships/worksheet" Target="/xl/worksheets/sheet4.xml" Id="R79ab8ca1e07241bd" /></Relationships>
</file>

<file path=xl/tables/table1.xml><?xml version="1.0" encoding="utf-8"?>
<x:table xmlns:x="http://schemas.openxmlformats.org/spreadsheetml/2006/main" id="1" name="FinalDataTable" displayName="FinalDataTable" ref="A1:M49" headerRowCount="1" totalsRowCount="0" totalsRowShown="0">
  <x:tableColumns count="13">
    <x:tableColumn id="1" name="Team"/>
    <x:tableColumn id="2" name="Progression Group"/>
    <x:tableColumn id="3" name="Group-stage Matches"/>
    <x:tableColumn id="4" name="Group-stage Goals For"/>
    <x:tableColumn id="5" name="Group-stage Goals Conceded"/>
    <x:tableColumn id="6" name="Group-stage Clean Sheets"/>
    <x:tableColumn id="7" name="Group-stage Goals Conceded per Match"/>
    <x:tableColumn id="8" name="Group-stage Clean Sheet Rate"/>
    <x:tableColumn id="9" name="Group-stage Goal Difference per Match"/>
    <x:tableColumn id="10" name="Tournament Matches Played"/>
    <x:tableColumn id="11" name="Tournament Goals Conceded (FIFA)"/>
    <x:tableColumn id="12" name="Tournament Clean Sheets (FIFA)"/>
    <x:tableColumn id="13" name="FIFA Rank by Goals Conc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BrefMatchesTable" displayName="FBrefMatchesTable" ref="A1:J105" headerRowCount="1" totalsRowCount="0" totalsRowShown="0">
  <x:tableColumns count="10">
    <x:tableColumn id="1" name="Match ID"/>
    <x:tableColumn id="2" name="Round"/>
    <x:tableColumn id="3" name="Week"/>
    <x:tableColumn id="4" name="Date"/>
    <x:tableColumn id="5" name="Home Team"/>
    <x:tableColumn id="6" name="Home Goals"/>
    <x:tableColumn id="7" name="Away Team"/>
    <x:tableColumn id="8" name="Away Goals"/>
    <x:tableColumn id="9" name="Venue"/>
    <x:tableColumn id="1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FATeamDataTable" displayName="FIFATeamDataTable" ref="A1:D49" headerRowCount="1" totalsRowCount="0" totalsRowShown="0">
  <x:tableColumns count="4">
    <x:tableColumn id="1" name="Team"/>
    <x:tableColumn id="2" name="FIFA Rank by Goals Conceded"/>
    <x:tableColumn id="3" name="Clean Sheets"/>
    <x:tableColumn id="4" name="Goals Conced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527b82b43a644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6a4240298c14e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315682700874f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3" hidden="0" customWidth="1"/>
    <x:col min="8" max="8" width="23" hidden="0" customWidth="1"/>
    <x:col min="9" max="9" width="23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</x:cols>
  <x:sheetData>
    <x:row r="1" ht="48" customHeight="1">
      <x:c r="A1" s="12" t="str">
        <x:v>Team</x:v>
      </x:c>
      <x:c r="B1" s="12" t="str">
        <x:v>Progression Group</x:v>
      </x:c>
      <x:c r="C1" s="12" t="str">
        <x:v>Group-stage Matches</x:v>
      </x:c>
      <x:c r="D1" s="12" t="str">
        <x:v>Group-stage Goals For</x:v>
      </x:c>
      <x:c r="E1" s="12" t="str">
        <x:v>Group-stage Goals Conceded</x:v>
      </x:c>
      <x:c r="F1" s="12" t="str">
        <x:v>Group-stage Clean Sheets</x:v>
      </x:c>
      <x:c r="G1" s="12" t="str">
        <x:v>Group-stage Goals Conceded per Match</x:v>
      </x:c>
      <x:c r="H1" s="12" t="str">
        <x:v>Group-stage Clean Sheet Rate</x:v>
      </x:c>
      <x:c r="I1" s="12" t="str">
        <x:v>Group-stage Goal Difference per Match</x:v>
      </x:c>
      <x:c r="J1" s="12" t="str">
        <x:v>Tournament Matches Played</x:v>
      </x:c>
      <x:c r="K1" s="12" t="str">
        <x:v>Tournament Goals Conceded (FIFA)</x:v>
      </x:c>
      <x:c r="L1" s="12" t="str">
        <x:v>Tournament Clean Sheets (FIFA)</x:v>
      </x:c>
      <x:c r="M1" s="12" t="str">
        <x:v>FIFA Rank by Goals Conceded</x:v>
      </x:c>
    </x:row>
    <x:row r="2">
      <x:c r="A2" s="13" t="str">
        <x:v>Algeria</x:v>
      </x:c>
      <x:c r="B2" s="13" t="str">
        <x:v>Knockout</x:v>
      </x:c>
      <x:c r="C2" s="14" t="n">
        <x:v>3</x:v>
      </x:c>
      <x:c r="D2" s="14" t="n">
        <x:v>5</x:v>
      </x:c>
      <x:c r="E2" s="14" t="n">
        <x:v>7</x:v>
      </x:c>
      <x:c r="F2" s="14" t="n">
        <x:v>0</x:v>
      </x:c>
      <x:c r="G2" s="15" t="n">
        <x:f>IFERROR(E2/C2,"")</x:f>
        <x:v>2.3333333333333335</x:v>
      </x:c>
      <x:c r="H2" s="16" t="n">
        <x:f>IFERROR(F2/C2,"")</x:f>
        <x:v>0</x:v>
      </x:c>
      <x:c r="I2" s="15" t="n">
        <x:f>IFERROR((D2-E2)/C2,"")</x:f>
        <x:v>-0.6666666666666666</x:v>
      </x:c>
      <x:c r="J2" s="14" t="n">
        <x:v>4</x:v>
      </x:c>
      <x:c r="K2" s="14" t="n">
        <x:v>9</x:v>
      </x:c>
      <x:c r="L2" s="14" t="n">
        <x:v>0</x:v>
      </x:c>
      <x:c r="M2" s="14" t="n">
        <x:v>10</x:v>
      </x:c>
    </x:row>
    <x:row r="3">
      <x:c r="A3" s="13" t="str">
        <x:v>Argentina</x:v>
      </x:c>
      <x:c r="B3" s="13" t="str">
        <x:v>Knockout</x:v>
      </x:c>
      <x:c r="C3" s="14" t="n">
        <x:v>3</x:v>
      </x:c>
      <x:c r="D3" s="14" t="n">
        <x:v>8</x:v>
      </x:c>
      <x:c r="E3" s="14" t="n">
        <x:v>1</x:v>
      </x:c>
      <x:c r="F3" s="14" t="n">
        <x:v>2</x:v>
      </x:c>
      <x:c r="G3" s="15" t="n">
        <x:f>IFERROR(E3/C3,"")</x:f>
        <x:v>0.3333333333333333</x:v>
      </x:c>
      <x:c r="H3" s="16" t="n">
        <x:f>IFERROR(F3/C3,"")</x:f>
        <x:v>0.6666666666666666</x:v>
      </x:c>
      <x:c r="I3" s="15" t="n">
        <x:f>IFERROR((D3-E3)/C3,"")</x:f>
        <x:v>2.3333333333333335</x:v>
      </x:c>
      <x:c r="J3" s="14" t="n">
        <x:v>8</x:v>
      </x:c>
      <x:c r="K3" s="14" t="n">
        <x:v>8</x:v>
      </x:c>
      <x:c r="L3" s="14" t="n">
        <x:v>2</x:v>
      </x:c>
      <x:c r="M3" s="14" t="n">
        <x:v>14</x:v>
      </x:c>
    </x:row>
    <x:row r="4">
      <x:c r="A4" s="13" t="str">
        <x:v>Australia</x:v>
      </x:c>
      <x:c r="B4" s="13" t="str">
        <x:v>Knockout</x:v>
      </x:c>
      <x:c r="C4" s="14" t="n">
        <x:v>3</x:v>
      </x:c>
      <x:c r="D4" s="14" t="n">
        <x:v>2</x:v>
      </x:c>
      <x:c r="E4" s="14" t="n">
        <x:v>2</x:v>
      </x:c>
      <x:c r="F4" s="14" t="n">
        <x:v>2</x:v>
      </x:c>
      <x:c r="G4" s="15" t="n">
        <x:f>IFERROR(E4/C4,"")</x:f>
        <x:v>0.6666666666666666</x:v>
      </x:c>
      <x:c r="H4" s="16" t="n">
        <x:f>IFERROR(F4/C4,"")</x:f>
        <x:v>0.6666666666666666</x:v>
      </x:c>
      <x:c r="I4" s="15" t="n">
        <x:f>IFERROR((D4-E4)/C4,"")</x:f>
        <x:v>0</x:v>
      </x:c>
      <x:c r="J4" s="14" t="n">
        <x:v>4</x:v>
      </x:c>
      <x:c r="K4" s="14" t="n">
        <x:v>3</x:v>
      </x:c>
      <x:c r="L4" s="14" t="n">
        <x:v>2</x:v>
      </x:c>
      <x:c r="M4" s="14" t="n">
        <x:v>41</x:v>
      </x:c>
    </x:row>
    <x:row r="5">
      <x:c r="A5" s="13" t="str">
        <x:v>Austria</x:v>
      </x:c>
      <x:c r="B5" s="13" t="str">
        <x:v>Knockout</x:v>
      </x:c>
      <x:c r="C5" s="14" t="n">
        <x:v>3</x:v>
      </x:c>
      <x:c r="D5" s="14" t="n">
        <x:v>6</x:v>
      </x:c>
      <x:c r="E5" s="14" t="n">
        <x:v>6</x:v>
      </x:c>
      <x:c r="F5" s="14" t="n">
        <x:v>0</x:v>
      </x:c>
      <x:c r="G5" s="15" t="n">
        <x:f>IFERROR(E5/C5,"")</x:f>
        <x:v>2</x:v>
      </x:c>
      <x:c r="H5" s="16" t="n">
        <x:f>IFERROR(F5/C5,"")</x:f>
        <x:v>0</x:v>
      </x:c>
      <x:c r="I5" s="15" t="n">
        <x:f>IFERROR((D5-E5)/C5,"")</x:f>
        <x:v>0</x:v>
      </x:c>
      <x:c r="J5" s="14" t="n">
        <x:v>4</x:v>
      </x:c>
      <x:c r="K5" s="14" t="n">
        <x:v>9</x:v>
      </x:c>
      <x:c r="L5" s="14" t="n">
        <x:v>0</x:v>
      </x:c>
      <x:c r="M5" s="14" t="n">
        <x:v>10</x:v>
      </x:c>
    </x:row>
    <x:row r="6">
      <x:c r="A6" s="13" t="str">
        <x:v>Belgium</x:v>
      </x:c>
      <x:c r="B6" s="13" t="str">
        <x:v>Knockout</x:v>
      </x:c>
      <x:c r="C6" s="14" t="n">
        <x:v>3</x:v>
      </x:c>
      <x:c r="D6" s="14" t="n">
        <x:v>6</x:v>
      </x:c>
      <x:c r="E6" s="14" t="n">
        <x:v>2</x:v>
      </x:c>
      <x:c r="F6" s="14" t="n">
        <x:v>1</x:v>
      </x:c>
      <x:c r="G6" s="15" t="n">
        <x:f>IFERROR(E6/C6,"")</x:f>
        <x:v>0.6666666666666666</x:v>
      </x:c>
      <x:c r="H6" s="16" t="n">
        <x:f>IFERROR(F6/C6,"")</x:f>
        <x:v>0.3333333333333333</x:v>
      </x:c>
      <x:c r="I6" s="15" t="n">
        <x:f>IFERROR((D6-E6)/C6,"")</x:f>
        <x:v>1.3333333333333333</x:v>
      </x:c>
      <x:c r="J6" s="14" t="n">
        <x:v>6</x:v>
      </x:c>
      <x:c r="K6" s="14" t="n">
        <x:v>7</x:v>
      </x:c>
      <x:c r="L6" s="14" t="n">
        <x:v>1</x:v>
      </x:c>
      <x:c r="M6" s="14" t="n">
        <x:v>19</x:v>
      </x:c>
    </x:row>
    <x:row r="7">
      <x:c r="A7" s="13" t="str">
        <x:v>Bosnia and Herzegovina</x:v>
      </x:c>
      <x:c r="B7" s="13" t="str">
        <x:v>Knockout</x:v>
      </x:c>
      <x:c r="C7" s="14" t="n">
        <x:v>3</x:v>
      </x:c>
      <x:c r="D7" s="14" t="n">
        <x:v>5</x:v>
      </x:c>
      <x:c r="E7" s="14" t="n">
        <x:v>6</x:v>
      </x:c>
      <x:c r="F7" s="14" t="n">
        <x:v>0</x:v>
      </x:c>
      <x:c r="G7" s="15" t="n">
        <x:f>IFERROR(E7/C7,"")</x:f>
        <x:v>2</x:v>
      </x:c>
      <x:c r="H7" s="16" t="n">
        <x:f>IFERROR(F7/C7,"")</x:f>
        <x:v>0</x:v>
      </x:c>
      <x:c r="I7" s="15" t="n">
        <x:f>IFERROR((D7-E7)/C7,"")</x:f>
        <x:v>-0.3333333333333333</x:v>
      </x:c>
      <x:c r="J7" s="14" t="n">
        <x:v>4</x:v>
      </x:c>
      <x:c r="K7" s="14" t="n">
        <x:v>8</x:v>
      </x:c>
      <x:c r="L7" s="14" t="n">
        <x:v>0</x:v>
      </x:c>
      <x:c r="M7" s="14" t="n">
        <x:v>14</x:v>
      </x:c>
    </x:row>
    <x:row r="8">
      <x:c r="A8" s="13" t="str">
        <x:v>Brazil</x:v>
      </x:c>
      <x:c r="B8" s="13" t="str">
        <x:v>Knockout</x:v>
      </x:c>
      <x:c r="C8" s="14" t="n">
        <x:v>3</x:v>
      </x:c>
      <x:c r="D8" s="14" t="n">
        <x:v>7</x:v>
      </x:c>
      <x:c r="E8" s="14" t="n">
        <x:v>1</x:v>
      </x:c>
      <x:c r="F8" s="14" t="n">
        <x:v>2</x:v>
      </x:c>
      <x:c r="G8" s="15" t="n">
        <x:f>IFERROR(E8/C8,"")</x:f>
        <x:v>0.3333333333333333</x:v>
      </x:c>
      <x:c r="H8" s="16" t="n">
        <x:f>IFERROR(F8/C8,"")</x:f>
        <x:v>0.6666666666666666</x:v>
      </x:c>
      <x:c r="I8" s="15" t="n">
        <x:f>IFERROR((D8-E8)/C8,"")</x:f>
        <x:v>2</x:v>
      </x:c>
      <x:c r="J8" s="14" t="n">
        <x:v>5</x:v>
      </x:c>
      <x:c r="K8" s="14" t="n">
        <x:v>4</x:v>
      </x:c>
      <x:c r="L8" s="14" t="n">
        <x:v>2</x:v>
      </x:c>
      <x:c r="M8" s="14" t="n">
        <x:v>34</x:v>
      </x:c>
    </x:row>
    <x:row r="9">
      <x:c r="A9" s="13" t="str">
        <x:v>Cabo Verde</x:v>
      </x:c>
      <x:c r="B9" s="13" t="str">
        <x:v>Knockout</x:v>
      </x:c>
      <x:c r="C9" s="14" t="n">
        <x:v>3</x:v>
      </x:c>
      <x:c r="D9" s="14" t="n">
        <x:v>2</x:v>
      </x:c>
      <x:c r="E9" s="14" t="n">
        <x:v>2</x:v>
      </x:c>
      <x:c r="F9" s="14" t="n">
        <x:v>2</x:v>
      </x:c>
      <x:c r="G9" s="15" t="n">
        <x:f>IFERROR(E9/C9,"")</x:f>
        <x:v>0.6666666666666666</x:v>
      </x:c>
      <x:c r="H9" s="16" t="n">
        <x:f>IFERROR(F9/C9,"")</x:f>
        <x:v>0.6666666666666666</x:v>
      </x:c>
      <x:c r="I9" s="15" t="n">
        <x:f>IFERROR((D9-E9)/C9,"")</x:f>
        <x:v>0</x:v>
      </x:c>
      <x:c r="J9" s="14" t="n">
        <x:v>4</x:v>
      </x:c>
      <x:c r="K9" s="14" t="n">
        <x:v>5</x:v>
      </x:c>
      <x:c r="L9" s="14" t="n">
        <x:v>2</x:v>
      </x:c>
      <x:c r="M9" s="14" t="n">
        <x:v>27</x:v>
      </x:c>
    </x:row>
    <x:row r="10">
      <x:c r="A10" s="13" t="str">
        <x:v>Canada</x:v>
      </x:c>
      <x:c r="B10" s="13" t="str">
        <x:v>Knockout</x:v>
      </x:c>
      <x:c r="C10" s="14" t="n">
        <x:v>3</x:v>
      </x:c>
      <x:c r="D10" s="14" t="n">
        <x:v>8</x:v>
      </x:c>
      <x:c r="E10" s="14" t="n">
        <x:v>3</x:v>
      </x:c>
      <x:c r="F10" s="14" t="n">
        <x:v>1</x:v>
      </x:c>
      <x:c r="G10" s="15" t="n">
        <x:f>IFERROR(E10/C10,"")</x:f>
        <x:v>1</x:v>
      </x:c>
      <x:c r="H10" s="16" t="n">
        <x:f>IFERROR(F10/C10,"")</x:f>
        <x:v>0.3333333333333333</x:v>
      </x:c>
      <x:c r="I10" s="15" t="n">
        <x:f>IFERROR((D10-E10)/C10,"")</x:f>
        <x:v>1.6666666666666667</x:v>
      </x:c>
      <x:c r="J10" s="14" t="n">
        <x:v>5</x:v>
      </x:c>
      <x:c r="K10" s="14" t="n">
        <x:v>6</x:v>
      </x:c>
      <x:c r="L10" s="14" t="n">
        <x:v>2</x:v>
      </x:c>
      <x:c r="M10" s="14" t="n">
        <x:v>22</x:v>
      </x:c>
    </x:row>
    <x:row r="11">
      <x:c r="A11" s="13" t="str">
        <x:v>Colombia</x:v>
      </x:c>
      <x:c r="B11" s="13" t="str">
        <x:v>Knockout</x:v>
      </x:c>
      <x:c r="C11" s="14" t="n">
        <x:v>3</x:v>
      </x:c>
      <x:c r="D11" s="14" t="n">
        <x:v>4</x:v>
      </x:c>
      <x:c r="E11" s="14" t="n">
        <x:v>1</x:v>
      </x:c>
      <x:c r="F11" s="14" t="n">
        <x:v>2</x:v>
      </x:c>
      <x:c r="G11" s="15" t="n">
        <x:f>IFERROR(E11/C11,"")</x:f>
        <x:v>0.3333333333333333</x:v>
      </x:c>
      <x:c r="H11" s="16" t="n">
        <x:f>IFERROR(F11/C11,"")</x:f>
        <x:v>0.6666666666666666</x:v>
      </x:c>
      <x:c r="I11" s="15" t="n">
        <x:f>IFERROR((D11-E11)/C11,"")</x:f>
        <x:v>1</x:v>
      </x:c>
      <x:c r="J11" s="14" t="n">
        <x:v>5</x:v>
      </x:c>
      <x:c r="K11" s="14" t="n">
        <x:v>1</x:v>
      </x:c>
      <x:c r="L11" s="14" t="n">
        <x:v>4</x:v>
      </x:c>
      <x:c r="M11" s="14" t="n">
        <x:v>47</x:v>
      </x:c>
    </x:row>
    <x:row r="12">
      <x:c r="A12" s="13" t="str">
        <x:v>Congo DR</x:v>
      </x:c>
      <x:c r="B12" s="13" t="str">
        <x:v>Knockout</x:v>
      </x:c>
      <x:c r="C12" s="14" t="n">
        <x:v>3</x:v>
      </x:c>
      <x:c r="D12" s="14" t="n">
        <x:v>4</x:v>
      </x:c>
      <x:c r="E12" s="14" t="n">
        <x:v>3</x:v>
      </x:c>
      <x:c r="F12" s="14" t="n">
        <x:v>0</x:v>
      </x:c>
      <x:c r="G12" s="15" t="n">
        <x:f>IFERROR(E12/C12,"")</x:f>
        <x:v>1</x:v>
      </x:c>
      <x:c r="H12" s="16" t="n">
        <x:f>IFERROR(F12/C12,"")</x:f>
        <x:v>0</x:v>
      </x:c>
      <x:c r="I12" s="15" t="n">
        <x:f>IFERROR((D12-E12)/C12,"")</x:f>
        <x:v>0.3333333333333333</x:v>
      </x:c>
      <x:c r="J12" s="14" t="n">
        <x:v>4</x:v>
      </x:c>
      <x:c r="K12" s="14" t="n">
        <x:v>5</x:v>
      </x:c>
      <x:c r="L12" s="14" t="n">
        <x:v>0</x:v>
      </x:c>
      <x:c r="M12" s="14" t="n">
        <x:v>27</x:v>
      </x:c>
    </x:row>
    <x:row r="13">
      <x:c r="A13" s="13" t="str">
        <x:v>Croatia</x:v>
      </x:c>
      <x:c r="B13" s="13" t="str">
        <x:v>Knockout</x:v>
      </x:c>
      <x:c r="C13" s="14" t="n">
        <x:v>3</x:v>
      </x:c>
      <x:c r="D13" s="14" t="n">
        <x:v>5</x:v>
      </x:c>
      <x:c r="E13" s="14" t="n">
        <x:v>5</x:v>
      </x:c>
      <x:c r="F13" s="14" t="n">
        <x:v>1</x:v>
      </x:c>
      <x:c r="G13" s="15" t="n">
        <x:f>IFERROR(E13/C13,"")</x:f>
        <x:v>1.6666666666666667</x:v>
      </x:c>
      <x:c r="H13" s="16" t="n">
        <x:f>IFERROR(F13/C13,"")</x:f>
        <x:v>0.3333333333333333</x:v>
      </x:c>
      <x:c r="I13" s="15" t="n">
        <x:f>IFERROR((D13-E13)/C13,"")</x:f>
        <x:v>0</x:v>
      </x:c>
      <x:c r="J13" s="14" t="n">
        <x:v>4</x:v>
      </x:c>
      <x:c r="K13" s="14" t="n">
        <x:v>7</x:v>
      </x:c>
      <x:c r="L13" s="14" t="n">
        <x:v>1</x:v>
      </x:c>
      <x:c r="M13" s="14" t="n">
        <x:v>19</x:v>
      </x:c>
    </x:row>
    <x:row r="14">
      <x:c r="A14" s="13" t="str">
        <x:v>Curaçao</x:v>
      </x:c>
      <x:c r="B14" s="13" t="str">
        <x:v>Group-stage Eliminated</x:v>
      </x:c>
      <x:c r="C14" s="14" t="n">
        <x:v>3</x:v>
      </x:c>
      <x:c r="D14" s="14" t="n">
        <x:v>1</x:v>
      </x:c>
      <x:c r="E14" s="14" t="n">
        <x:v>9</x:v>
      </x:c>
      <x:c r="F14" s="14" t="n">
        <x:v>1</x:v>
      </x:c>
      <x:c r="G14" s="15" t="n">
        <x:f>IFERROR(E14/C14,"")</x:f>
        <x:v>3</x:v>
      </x:c>
      <x:c r="H14" s="16" t="n">
        <x:f>IFERROR(F14/C14,"")</x:f>
        <x:v>0.3333333333333333</x:v>
      </x:c>
      <x:c r="I14" s="15" t="n">
        <x:f>IFERROR((D14-E14)/C14,"")</x:f>
        <x:v>-2.6666666666666665</x:v>
      </x:c>
      <x:c r="J14" s="14" t="n">
        <x:v>3</x:v>
      </x:c>
      <x:c r="K14" s="14" t="n">
        <x:v>9</x:v>
      </x:c>
      <x:c r="L14" s="14" t="n">
        <x:v>1</x:v>
      </x:c>
      <x:c r="M14" s="14" t="n">
        <x:v>10</x:v>
      </x:c>
    </x:row>
    <x:row r="15">
      <x:c r="A15" s="13" t="str">
        <x:v>Czechia</x:v>
      </x:c>
      <x:c r="B15" s="13" t="str">
        <x:v>Group-stage Eliminated</x:v>
      </x:c>
      <x:c r="C15" s="14" t="n">
        <x:v>3</x:v>
      </x:c>
      <x:c r="D15" s="14" t="n">
        <x:v>2</x:v>
      </x:c>
      <x:c r="E15" s="14" t="n">
        <x:v>6</x:v>
      </x:c>
      <x:c r="F15" s="14" t="n">
        <x:v>0</x:v>
      </x:c>
      <x:c r="G15" s="15" t="n">
        <x:f>IFERROR(E15/C15,"")</x:f>
        <x:v>2</x:v>
      </x:c>
      <x:c r="H15" s="16" t="n">
        <x:f>IFERROR(F15/C15,"")</x:f>
        <x:v>0</x:v>
      </x:c>
      <x:c r="I15" s="15" t="n">
        <x:f>IFERROR((D15-E15)/C15,"")</x:f>
        <x:v>-1.3333333333333333</x:v>
      </x:c>
      <x:c r="J15" s="14" t="n">
        <x:v>3</x:v>
      </x:c>
      <x:c r="K15" s="14" t="n">
        <x:v>6</x:v>
      </x:c>
      <x:c r="L15" s="14" t="n">
        <x:v>0</x:v>
      </x:c>
      <x:c r="M15" s="14" t="n">
        <x:v>22</x:v>
      </x:c>
    </x:row>
    <x:row r="16">
      <x:c r="A16" s="13" t="str">
        <x:v>Côte d'Ivoire</x:v>
      </x:c>
      <x:c r="B16" s="13" t="str">
        <x:v>Knockout</x:v>
      </x:c>
      <x:c r="C16" s="14" t="n">
        <x:v>3</x:v>
      </x:c>
      <x:c r="D16" s="14" t="n">
        <x:v>4</x:v>
      </x:c>
      <x:c r="E16" s="14" t="n">
        <x:v>2</x:v>
      </x:c>
      <x:c r="F16" s="14" t="n">
        <x:v>2</x:v>
      </x:c>
      <x:c r="G16" s="15" t="n">
        <x:f>IFERROR(E16/C16,"")</x:f>
        <x:v>0.6666666666666666</x:v>
      </x:c>
      <x:c r="H16" s="16" t="n">
        <x:f>IFERROR(F16/C16,"")</x:f>
        <x:v>0.6666666666666666</x:v>
      </x:c>
      <x:c r="I16" s="15" t="n">
        <x:f>IFERROR((D16-E16)/C16,"")</x:f>
        <x:v>0.6666666666666666</x:v>
      </x:c>
      <x:c r="J16" s="14" t="n">
        <x:v>4</x:v>
      </x:c>
      <x:c r="K16" s="14" t="n">
        <x:v>4</x:v>
      </x:c>
      <x:c r="L16" s="14" t="n">
        <x:v>2</x:v>
      </x:c>
      <x:c r="M16" s="14" t="n">
        <x:v>34</x:v>
      </x:c>
    </x:row>
    <x:row r="17">
      <x:c r="A17" s="13" t="str">
        <x:v>Ecuador</x:v>
      </x:c>
      <x:c r="B17" s="13" t="str">
        <x:v>Knockout</x:v>
      </x:c>
      <x:c r="C17" s="14" t="n">
        <x:v>3</x:v>
      </x:c>
      <x:c r="D17" s="14" t="n">
        <x:v>2</x:v>
      </x:c>
      <x:c r="E17" s="14" t="n">
        <x:v>2</x:v>
      </x:c>
      <x:c r="F17" s="14" t="n">
        <x:v>1</x:v>
      </x:c>
      <x:c r="G17" s="15" t="n">
        <x:f>IFERROR(E17/C17,"")</x:f>
        <x:v>0.6666666666666666</x:v>
      </x:c>
      <x:c r="H17" s="16" t="n">
        <x:f>IFERROR(F17/C17,"")</x:f>
        <x:v>0.3333333333333333</x:v>
      </x:c>
      <x:c r="I17" s="15" t="n">
        <x:f>IFERROR((D17-E17)/C17,"")</x:f>
        <x:v>0</x:v>
      </x:c>
      <x:c r="J17" s="14" t="n">
        <x:v>4</x:v>
      </x:c>
      <x:c r="K17" s="14" t="n">
        <x:v>4</x:v>
      </x:c>
      <x:c r="L17" s="14" t="n">
        <x:v>1</x:v>
      </x:c>
      <x:c r="M17" s="14" t="n">
        <x:v>34</x:v>
      </x:c>
    </x:row>
    <x:row r="18">
      <x:c r="A18" s="13" t="str">
        <x:v>Egypt</x:v>
      </x:c>
      <x:c r="B18" s="13" t="str">
        <x:v>Knockout</x:v>
      </x:c>
      <x:c r="C18" s="14" t="n">
        <x:v>3</x:v>
      </x:c>
      <x:c r="D18" s="14" t="n">
        <x:v>5</x:v>
      </x:c>
      <x:c r="E18" s="14" t="n">
        <x:v>3</x:v>
      </x:c>
      <x:c r="F18" s="14" t="n">
        <x:v>0</x:v>
      </x:c>
      <x:c r="G18" s="15" t="n">
        <x:f>IFERROR(E18/C18,"")</x:f>
        <x:v>1</x:v>
      </x:c>
      <x:c r="H18" s="16" t="n">
        <x:f>IFERROR(F18/C18,"")</x:f>
        <x:v>0</x:v>
      </x:c>
      <x:c r="I18" s="15" t="n">
        <x:f>IFERROR((D18-E18)/C18,"")</x:f>
        <x:v>0.6666666666666666</x:v>
      </x:c>
      <x:c r="J18" s="14" t="n">
        <x:v>5</x:v>
      </x:c>
      <x:c r="K18" s="14" t="n">
        <x:v>7</x:v>
      </x:c>
      <x:c r="L18" s="14" t="n">
        <x:v>0</x:v>
      </x:c>
      <x:c r="M18" s="14" t="n">
        <x:v>19</x:v>
      </x:c>
    </x:row>
    <x:row r="19">
      <x:c r="A19" s="13" t="str">
        <x:v>England</x:v>
      </x:c>
      <x:c r="B19" s="13" t="str">
        <x:v>Knockout</x:v>
      </x:c>
      <x:c r="C19" s="14" t="n">
        <x:v>3</x:v>
      </x:c>
      <x:c r="D19" s="14" t="n">
        <x:v>6</x:v>
      </x:c>
      <x:c r="E19" s="14" t="n">
        <x:v>2</x:v>
      </x:c>
      <x:c r="F19" s="14" t="n">
        <x:v>2</x:v>
      </x:c>
      <x:c r="G19" s="15" t="n">
        <x:f>IFERROR(E19/C19,"")</x:f>
        <x:v>0.6666666666666666</x:v>
      </x:c>
      <x:c r="H19" s="16" t="n">
        <x:f>IFERROR(F19/C19,"")</x:f>
        <x:v>0.6666666666666666</x:v>
      </x:c>
      <x:c r="I19" s="15" t="n">
        <x:f>IFERROR((D19-E19)/C19,"")</x:f>
        <x:v>1.3333333333333333</x:v>
      </x:c>
      <x:c r="J19" s="14" t="n">
        <x:v>8</x:v>
      </x:c>
      <x:c r="K19" s="14" t="n">
        <x:v>12</x:v>
      </x:c>
      <x:c r="L19" s="14" t="n">
        <x:v>2</x:v>
      </x:c>
      <x:c r="M19" s="14" t="n">
        <x:v>1</x:v>
      </x:c>
    </x:row>
    <x:row r="20">
      <x:c r="A20" s="13" t="str">
        <x:v>France</x:v>
      </x:c>
      <x:c r="B20" s="13" t="str">
        <x:v>Knockout</x:v>
      </x:c>
      <x:c r="C20" s="14" t="n">
        <x:v>3</x:v>
      </x:c>
      <x:c r="D20" s="14" t="n">
        <x:v>10</x:v>
      </x:c>
      <x:c r="E20" s="14" t="n">
        <x:v>2</x:v>
      </x:c>
      <x:c r="F20" s="14" t="n">
        <x:v>1</x:v>
      </x:c>
      <x:c r="G20" s="15" t="n">
        <x:f>IFERROR(E20/C20,"")</x:f>
        <x:v>0.6666666666666666</x:v>
      </x:c>
      <x:c r="H20" s="16" t="n">
        <x:f>IFERROR(F20/C20,"")</x:f>
        <x:v>0.3333333333333333</x:v>
      </x:c>
      <x:c r="I20" s="15" t="n">
        <x:f>IFERROR((D20-E20)/C20,"")</x:f>
        <x:v>2.6666666666666665</x:v>
      </x:c>
      <x:c r="J20" s="14" t="n">
        <x:v>8</x:v>
      </x:c>
      <x:c r="K20" s="14" t="n">
        <x:v>10</x:v>
      </x:c>
      <x:c r="L20" s="14" t="n">
        <x:v>4</x:v>
      </x:c>
      <x:c r="M20" s="14" t="n">
        <x:v>6</x:v>
      </x:c>
    </x:row>
    <x:row r="21">
      <x:c r="A21" s="13" t="str">
        <x:v>Germany</x:v>
      </x:c>
      <x:c r="B21" s="13" t="str">
        <x:v>Knockout</x:v>
      </x:c>
      <x:c r="C21" s="14" t="n">
        <x:v>3</x:v>
      </x:c>
      <x:c r="D21" s="14" t="n">
        <x:v>10</x:v>
      </x:c>
      <x:c r="E21" s="14" t="n">
        <x:v>4</x:v>
      </x:c>
      <x:c r="F21" s="14" t="n">
        <x:v>0</x:v>
      </x:c>
      <x:c r="G21" s="15" t="n">
        <x:f>IFERROR(E21/C21,"")</x:f>
        <x:v>1.3333333333333333</x:v>
      </x:c>
      <x:c r="H21" s="16" t="n">
        <x:f>IFERROR(F21/C21,"")</x:f>
        <x:v>0</x:v>
      </x:c>
      <x:c r="I21" s="15" t="n">
        <x:f>IFERROR((D21-E21)/C21,"")</x:f>
        <x:v>2</x:v>
      </x:c>
      <x:c r="J21" s="14" t="n">
        <x:v>4</x:v>
      </x:c>
      <x:c r="K21" s="14" t="n">
        <x:v>5</x:v>
      </x:c>
      <x:c r="L21" s="14" t="n">
        <x:v>0</x:v>
      </x:c>
      <x:c r="M21" s="14" t="n">
        <x:v>27</x:v>
      </x:c>
    </x:row>
    <x:row r="22">
      <x:c r="A22" s="13" t="str">
        <x:v>Ghana</x:v>
      </x:c>
      <x:c r="B22" s="13" t="str">
        <x:v>Knockout</x:v>
      </x:c>
      <x:c r="C22" s="14" t="n">
        <x:v>3</x:v>
      </x:c>
      <x:c r="D22" s="14" t="n">
        <x:v>2</x:v>
      </x:c>
      <x:c r="E22" s="14" t="n">
        <x:v>2</x:v>
      </x:c>
      <x:c r="F22" s="14" t="n">
        <x:v>2</x:v>
      </x:c>
      <x:c r="G22" s="15" t="n">
        <x:f>IFERROR(E22/C22,"")</x:f>
        <x:v>0.6666666666666666</x:v>
      </x:c>
      <x:c r="H22" s="16" t="n">
        <x:f>IFERROR(F22/C22,"")</x:f>
        <x:v>0.6666666666666666</x:v>
      </x:c>
      <x:c r="I22" s="15" t="n">
        <x:f>IFERROR((D22-E22)/C22,"")</x:f>
        <x:v>0</x:v>
      </x:c>
      <x:c r="J22" s="14" t="n">
        <x:v>4</x:v>
      </x:c>
      <x:c r="K22" s="14" t="n">
        <x:v>3</x:v>
      </x:c>
      <x:c r="L22" s="14" t="n">
        <x:v>2</x:v>
      </x:c>
      <x:c r="M22" s="14" t="n">
        <x:v>41</x:v>
      </x:c>
    </x:row>
    <x:row r="23">
      <x:c r="A23" s="13" t="str">
        <x:v>Haiti</x:v>
      </x:c>
      <x:c r="B23" s="13" t="str">
        <x:v>Group-stage Eliminated</x:v>
      </x:c>
      <x:c r="C23" s="14" t="n">
        <x:v>3</x:v>
      </x:c>
      <x:c r="D23" s="14" t="n">
        <x:v>2</x:v>
      </x:c>
      <x:c r="E23" s="14" t="n">
        <x:v>8</x:v>
      </x:c>
      <x:c r="F23" s="14" t="n">
        <x:v>0</x:v>
      </x:c>
      <x:c r="G23" s="15" t="n">
        <x:f>IFERROR(E23/C23,"")</x:f>
        <x:v>2.6666666666666665</x:v>
      </x:c>
      <x:c r="H23" s="16" t="n">
        <x:f>IFERROR(F23/C23,"")</x:f>
        <x:v>0</x:v>
      </x:c>
      <x:c r="I23" s="15" t="n">
        <x:f>IFERROR((D23-E23)/C23,"")</x:f>
        <x:v>-2</x:v>
      </x:c>
      <x:c r="J23" s="14" t="n">
        <x:v>3</x:v>
      </x:c>
      <x:c r="K23" s="14" t="n">
        <x:v>8</x:v>
      </x:c>
      <x:c r="L23" s="14" t="n">
        <x:v>0</x:v>
      </x:c>
      <x:c r="M23" s="14" t="n">
        <x:v>14</x:v>
      </x:c>
    </x:row>
    <x:row r="24">
      <x:c r="A24" s="13" t="str">
        <x:v>IR Iran</x:v>
      </x:c>
      <x:c r="B24" s="13" t="str">
        <x:v>Group-stage Eliminated</x:v>
      </x:c>
      <x:c r="C24" s="14" t="n">
        <x:v>3</x:v>
      </x:c>
      <x:c r="D24" s="14" t="n">
        <x:v>3</x:v>
      </x:c>
      <x:c r="E24" s="14" t="n">
        <x:v>3</x:v>
      </x:c>
      <x:c r="F24" s="14" t="n">
        <x:v>1</x:v>
      </x:c>
      <x:c r="G24" s="15" t="n">
        <x:f>IFERROR(E24/C24,"")</x:f>
        <x:v>1</x:v>
      </x:c>
      <x:c r="H24" s="16" t="n">
        <x:f>IFERROR(F24/C24,"")</x:f>
        <x:v>0.3333333333333333</x:v>
      </x:c>
      <x:c r="I24" s="15" t="n">
        <x:f>IFERROR((D24-E24)/C24,"")</x:f>
        <x:v>0</x:v>
      </x:c>
      <x:c r="J24" s="14" t="n">
        <x:v>3</x:v>
      </x:c>
      <x:c r="K24" s="14" t="n">
        <x:v>3</x:v>
      </x:c>
      <x:c r="L24" s="14" t="n">
        <x:v>1</x:v>
      </x:c>
      <x:c r="M24" s="14" t="n">
        <x:v>41</x:v>
      </x:c>
    </x:row>
    <x:row r="25">
      <x:c r="A25" s="13" t="str">
        <x:v>Iraq</x:v>
      </x:c>
      <x:c r="B25" s="13" t="str">
        <x:v>Group-stage Eliminated</x:v>
      </x:c>
      <x:c r="C25" s="14" t="n">
        <x:v>3</x:v>
      </x:c>
      <x:c r="D25" s="14" t="n">
        <x:v>1</x:v>
      </x:c>
      <x:c r="E25" s="14" t="n">
        <x:v>12</x:v>
      </x:c>
      <x:c r="F25" s="14" t="n">
        <x:v>0</x:v>
      </x:c>
      <x:c r="G25" s="15" t="n">
        <x:f>IFERROR(E25/C25,"")</x:f>
        <x:v>4</x:v>
      </x:c>
      <x:c r="H25" s="16" t="n">
        <x:f>IFERROR(F25/C25,"")</x:f>
        <x:v>0</x:v>
      </x:c>
      <x:c r="I25" s="15" t="n">
        <x:f>IFERROR((D25-E25)/C25,"")</x:f>
        <x:v>-3.6666666666666665</x:v>
      </x:c>
      <x:c r="J25" s="14" t="n">
        <x:v>3</x:v>
      </x:c>
      <x:c r="K25" s="14" t="n">
        <x:v>12</x:v>
      </x:c>
      <x:c r="L25" s="14" t="n">
        <x:v>0</x:v>
      </x:c>
      <x:c r="M25" s="14" t="n">
        <x:v>1</x:v>
      </x:c>
    </x:row>
    <x:row r="26">
      <x:c r="A26" s="13" t="str">
        <x:v>Japan</x:v>
      </x:c>
      <x:c r="B26" s="13" t="str">
        <x:v>Knockout</x:v>
      </x:c>
      <x:c r="C26" s="14" t="n">
        <x:v>3</x:v>
      </x:c>
      <x:c r="D26" s="14" t="n">
        <x:v>7</x:v>
      </x:c>
      <x:c r="E26" s="14" t="n">
        <x:v>3</x:v>
      </x:c>
      <x:c r="F26" s="14" t="n">
        <x:v>1</x:v>
      </x:c>
      <x:c r="G26" s="15" t="n">
        <x:f>IFERROR(E26/C26,"")</x:f>
        <x:v>1</x:v>
      </x:c>
      <x:c r="H26" s="16" t="n">
        <x:f>IFERROR(F26/C26,"")</x:f>
        <x:v>0.3333333333333333</x:v>
      </x:c>
      <x:c r="I26" s="15" t="n">
        <x:f>IFERROR((D26-E26)/C26,"")</x:f>
        <x:v>1.3333333333333333</x:v>
      </x:c>
      <x:c r="J26" s="14" t="n">
        <x:v>4</x:v>
      </x:c>
      <x:c r="K26" s="14" t="n">
        <x:v>5</x:v>
      </x:c>
      <x:c r="L26" s="14" t="n">
        <x:v>1</x:v>
      </x:c>
      <x:c r="M26" s="14" t="n">
        <x:v>27</x:v>
      </x:c>
    </x:row>
    <x:row r="27">
      <x:c r="A27" s="13" t="str">
        <x:v>Jordan</x:v>
      </x:c>
      <x:c r="B27" s="13" t="str">
        <x:v>Group-stage Eliminated</x:v>
      </x:c>
      <x:c r="C27" s="14" t="n">
        <x:v>3</x:v>
      </x:c>
      <x:c r="D27" s="14" t="n">
        <x:v>3</x:v>
      </x:c>
      <x:c r="E27" s="14" t="n">
        <x:v>8</x:v>
      </x:c>
      <x:c r="F27" s="14" t="n">
        <x:v>0</x:v>
      </x:c>
      <x:c r="G27" s="15" t="n">
        <x:f>IFERROR(E27/C27,"")</x:f>
        <x:v>2.6666666666666665</x:v>
      </x:c>
      <x:c r="H27" s="16" t="n">
        <x:f>IFERROR(F27/C27,"")</x:f>
        <x:v>0</x:v>
      </x:c>
      <x:c r="I27" s="15" t="n">
        <x:f>IFERROR((D27-E27)/C27,"")</x:f>
        <x:v>-1.6666666666666667</x:v>
      </x:c>
      <x:c r="J27" s="14" t="n">
        <x:v>3</x:v>
      </x:c>
      <x:c r="K27" s="14" t="n">
        <x:v>8</x:v>
      </x:c>
      <x:c r="L27" s="14" t="n">
        <x:v>0</x:v>
      </x:c>
      <x:c r="M27" s="14" t="n">
        <x:v>14</x:v>
      </x:c>
    </x:row>
    <x:row r="28">
      <x:c r="A28" s="13" t="str">
        <x:v>Korea Republic</x:v>
      </x:c>
      <x:c r="B28" s="13" t="str">
        <x:v>Group-stage Eliminated</x:v>
      </x:c>
      <x:c r="C28" s="14" t="n">
        <x:v>3</x:v>
      </x:c>
      <x:c r="D28" s="14" t="n">
        <x:v>2</x:v>
      </x:c>
      <x:c r="E28" s="14" t="n">
        <x:v>3</x:v>
      </x:c>
      <x:c r="F28" s="14" t="n">
        <x:v>0</x:v>
      </x:c>
      <x:c r="G28" s="15" t="n">
        <x:f>IFERROR(E28/C28,"")</x:f>
        <x:v>1</x:v>
      </x:c>
      <x:c r="H28" s="16" t="n">
        <x:f>IFERROR(F28/C28,"")</x:f>
        <x:v>0</x:v>
      </x:c>
      <x:c r="I28" s="15" t="n">
        <x:f>IFERROR((D28-E28)/C28,"")</x:f>
        <x:v>-0.3333333333333333</x:v>
      </x:c>
      <x:c r="J28" s="14" t="n">
        <x:v>3</x:v>
      </x:c>
      <x:c r="K28" s="14" t="n">
        <x:v>3</x:v>
      </x:c>
      <x:c r="L28" s="14" t="n">
        <x:v>0</x:v>
      </x:c>
      <x:c r="M28" s="14" t="n">
        <x:v>41</x:v>
      </x:c>
    </x:row>
    <x:row r="29">
      <x:c r="A29" s="13" t="str">
        <x:v>Mexico</x:v>
      </x:c>
      <x:c r="B29" s="13" t="str">
        <x:v>Knockout</x:v>
      </x:c>
      <x:c r="C29" s="14" t="n">
        <x:v>3</x:v>
      </x:c>
      <x:c r="D29" s="14" t="n">
        <x:v>6</x:v>
      </x:c>
      <x:c r="E29" s="14" t="n">
        <x:v>0</x:v>
      </x:c>
      <x:c r="F29" s="14" t="n">
        <x:v>3</x:v>
      </x:c>
      <x:c r="G29" s="15" t="n">
        <x:f>IFERROR(E29/C29,"")</x:f>
        <x:v>0</x:v>
      </x:c>
      <x:c r="H29" s="16" t="n">
        <x:f>IFERROR(F29/C29,"")</x:f>
        <x:v>1</x:v>
      </x:c>
      <x:c r="I29" s="15" t="n">
        <x:f>IFERROR((D29-E29)/C29,"")</x:f>
        <x:v>2</x:v>
      </x:c>
      <x:c r="J29" s="14" t="n">
        <x:v>5</x:v>
      </x:c>
      <x:c r="K29" s="14" t="n">
        <x:v>3</x:v>
      </x:c>
      <x:c r="L29" s="14" t="n">
        <x:v>4</x:v>
      </x:c>
      <x:c r="M29" s="14" t="n">
        <x:v>41</x:v>
      </x:c>
    </x:row>
    <x:row r="30">
      <x:c r="A30" s="13" t="str">
        <x:v>Morocco</x:v>
      </x:c>
      <x:c r="B30" s="13" t="str">
        <x:v>Knockout</x:v>
      </x:c>
      <x:c r="C30" s="14" t="n">
        <x:v>3</x:v>
      </x:c>
      <x:c r="D30" s="14" t="n">
        <x:v>6</x:v>
      </x:c>
      <x:c r="E30" s="14" t="n">
        <x:v>3</x:v>
      </x:c>
      <x:c r="F30" s="14" t="n">
        <x:v>1</x:v>
      </x:c>
      <x:c r="G30" s="15" t="n">
        <x:f>IFERROR(E30/C30,"")</x:f>
        <x:v>1</x:v>
      </x:c>
      <x:c r="H30" s="16" t="n">
        <x:f>IFERROR(F30/C30,"")</x:f>
        <x:v>0.3333333333333333</x:v>
      </x:c>
      <x:c r="I30" s="15" t="n">
        <x:f>IFERROR((D30-E30)/C30,"")</x:f>
        <x:v>1</x:v>
      </x:c>
      <x:c r="J30" s="14" t="n">
        <x:v>6</x:v>
      </x:c>
      <x:c r="K30" s="14" t="n">
        <x:v>6</x:v>
      </x:c>
      <x:c r="L30" s="14" t="n">
        <x:v>2</x:v>
      </x:c>
      <x:c r="M30" s="14" t="n">
        <x:v>22</x:v>
      </x:c>
    </x:row>
    <x:row r="31">
      <x:c r="A31" s="13" t="str">
        <x:v>Netherlands</x:v>
      </x:c>
      <x:c r="B31" s="13" t="str">
        <x:v>Knockout</x:v>
      </x:c>
      <x:c r="C31" s="14" t="n">
        <x:v>3</x:v>
      </x:c>
      <x:c r="D31" s="14" t="n">
        <x:v>10</x:v>
      </x:c>
      <x:c r="E31" s="14" t="n">
        <x:v>4</x:v>
      </x:c>
      <x:c r="F31" s="14" t="n">
        <x:v>0</x:v>
      </x:c>
      <x:c r="G31" s="15" t="n">
        <x:f>IFERROR(E31/C31,"")</x:f>
        <x:v>1.3333333333333333</x:v>
      </x:c>
      <x:c r="H31" s="16" t="n">
        <x:f>IFERROR(F31/C31,"")</x:f>
        <x:v>0</x:v>
      </x:c>
      <x:c r="I31" s="15" t="n">
        <x:f>IFERROR((D31-E31)/C31,"")</x:f>
        <x:v>2</x:v>
      </x:c>
      <x:c r="J31" s="14" t="n">
        <x:v>4</x:v>
      </x:c>
      <x:c r="K31" s="14" t="n">
        <x:v>5</x:v>
      </x:c>
      <x:c r="L31" s="14" t="n">
        <x:v>0</x:v>
      </x:c>
      <x:c r="M31" s="14" t="n">
        <x:v>27</x:v>
      </x:c>
    </x:row>
    <x:row r="32">
      <x:c r="A32" s="13" t="str">
        <x:v>New Zealand</x:v>
      </x:c>
      <x:c r="B32" s="13" t="str">
        <x:v>Group-stage Eliminated</x:v>
      </x:c>
      <x:c r="C32" s="14" t="n">
        <x:v>3</x:v>
      </x:c>
      <x:c r="D32" s="14" t="n">
        <x:v>4</x:v>
      </x:c>
      <x:c r="E32" s="14" t="n">
        <x:v>10</x:v>
      </x:c>
      <x:c r="F32" s="14" t="n">
        <x:v>0</x:v>
      </x:c>
      <x:c r="G32" s="15" t="n">
        <x:f>IFERROR(E32/C32,"")</x:f>
        <x:v>3.3333333333333335</x:v>
      </x:c>
      <x:c r="H32" s="16" t="n">
        <x:f>IFERROR(F32/C32,"")</x:f>
        <x:v>0</x:v>
      </x:c>
      <x:c r="I32" s="15" t="n">
        <x:f>IFERROR((D32-E32)/C32,"")</x:f>
        <x:v>-2</x:v>
      </x:c>
      <x:c r="J32" s="14" t="n">
        <x:v>3</x:v>
      </x:c>
      <x:c r="K32" s="14" t="n">
        <x:v>10</x:v>
      </x:c>
      <x:c r="L32" s="14" t="n">
        <x:v>0</x:v>
      </x:c>
      <x:c r="M32" s="14" t="n">
        <x:v>6</x:v>
      </x:c>
    </x:row>
    <x:row r="33">
      <x:c r="A33" s="13" t="str">
        <x:v>Norway</x:v>
      </x:c>
      <x:c r="B33" s="13" t="str">
        <x:v>Knockout</x:v>
      </x:c>
      <x:c r="C33" s="14" t="n">
        <x:v>3</x:v>
      </x:c>
      <x:c r="D33" s="14" t="n">
        <x:v>8</x:v>
      </x:c>
      <x:c r="E33" s="14" t="n">
        <x:v>7</x:v>
      </x:c>
      <x:c r="F33" s="14" t="n">
        <x:v>0</x:v>
      </x:c>
      <x:c r="G33" s="15" t="n">
        <x:f>IFERROR(E33/C33,"")</x:f>
        <x:v>2.3333333333333335</x:v>
      </x:c>
      <x:c r="H33" s="16" t="n">
        <x:f>IFERROR(F33/C33,"")</x:f>
        <x:v>0</x:v>
      </x:c>
      <x:c r="I33" s="15" t="n">
        <x:f>IFERROR((D33-E33)/C33,"")</x:f>
        <x:v>0.3333333333333333</x:v>
      </x:c>
      <x:c r="J33" s="14" t="n">
        <x:v>6</x:v>
      </x:c>
      <x:c r="K33" s="14" t="n">
        <x:v>11</x:v>
      </x:c>
      <x:c r="L33" s="14" t="n">
        <x:v>0</x:v>
      </x:c>
      <x:c r="M33" s="14" t="n">
        <x:v>4</x:v>
      </x:c>
    </x:row>
    <x:row r="34">
      <x:c r="A34" s="13" t="str">
        <x:v>Panama</x:v>
      </x:c>
      <x:c r="B34" s="13" t="str">
        <x:v>Group-stage Eliminated</x:v>
      </x:c>
      <x:c r="C34" s="14" t="n">
        <x:v>3</x:v>
      </x:c>
      <x:c r="D34" s="14" t="n">
        <x:v>0</x:v>
      </x:c>
      <x:c r="E34" s="14" t="n">
        <x:v>4</x:v>
      </x:c>
      <x:c r="F34" s="14" t="n">
        <x:v>0</x:v>
      </x:c>
      <x:c r="G34" s="15" t="n">
        <x:f>IFERROR(E34/C34,"")</x:f>
        <x:v>1.3333333333333333</x:v>
      </x:c>
      <x:c r="H34" s="16" t="n">
        <x:f>IFERROR(F34/C34,"")</x:f>
        <x:v>0</x:v>
      </x:c>
      <x:c r="I34" s="15" t="n">
        <x:f>IFERROR((D34-E34)/C34,"")</x:f>
        <x:v>-1.3333333333333333</x:v>
      </x:c>
      <x:c r="J34" s="14" t="n">
        <x:v>3</x:v>
      </x:c>
      <x:c r="K34" s="14" t="n">
        <x:v>4</x:v>
      </x:c>
      <x:c r="L34" s="14" t="n">
        <x:v>0</x:v>
      </x:c>
      <x:c r="M34" s="14" t="n">
        <x:v>34</x:v>
      </x:c>
    </x:row>
    <x:row r="35">
      <x:c r="A35" s="13" t="str">
        <x:v>Paraguay</x:v>
      </x:c>
      <x:c r="B35" s="13" t="str">
        <x:v>Knockout</x:v>
      </x:c>
      <x:c r="C35" s="14" t="n">
        <x:v>3</x:v>
      </x:c>
      <x:c r="D35" s="14" t="n">
        <x:v>2</x:v>
      </x:c>
      <x:c r="E35" s="14" t="n">
        <x:v>4</x:v>
      </x:c>
      <x:c r="F35" s="14" t="n">
        <x:v>2</x:v>
      </x:c>
      <x:c r="G35" s="15" t="n">
        <x:f>IFERROR(E35/C35,"")</x:f>
        <x:v>1.3333333333333333</x:v>
      </x:c>
      <x:c r="H35" s="16" t="n">
        <x:f>IFERROR(F35/C35,"")</x:f>
        <x:v>0.6666666666666666</x:v>
      </x:c>
      <x:c r="I35" s="15" t="n">
        <x:f>IFERROR((D35-E35)/C35,"")</x:f>
        <x:v>-0.6666666666666666</x:v>
      </x:c>
      <x:c r="J35" s="14" t="n">
        <x:v>5</x:v>
      </x:c>
      <x:c r="K35" s="14" t="n">
        <x:v>6</x:v>
      </x:c>
      <x:c r="L35" s="14" t="n">
        <x:v>2</x:v>
      </x:c>
      <x:c r="M35" s="14" t="n">
        <x:v>22</x:v>
      </x:c>
    </x:row>
    <x:row r="36">
      <x:c r="A36" s="13" t="str">
        <x:v>Portugal</x:v>
      </x:c>
      <x:c r="B36" s="13" t="str">
        <x:v>Knockout</x:v>
      </x:c>
      <x:c r="C36" s="14" t="n">
        <x:v>3</x:v>
      </x:c>
      <x:c r="D36" s="14" t="n">
        <x:v>6</x:v>
      </x:c>
      <x:c r="E36" s="14" t="n">
        <x:v>1</x:v>
      </x:c>
      <x:c r="F36" s="14" t="n">
        <x:v>2</x:v>
      </x:c>
      <x:c r="G36" s="15" t="n">
        <x:f>IFERROR(E36/C36,"")</x:f>
        <x:v>0.3333333333333333</x:v>
      </x:c>
      <x:c r="H36" s="16" t="n">
        <x:f>IFERROR(F36/C36,"")</x:f>
        <x:v>0.6666666666666666</x:v>
      </x:c>
      <x:c r="I36" s="15" t="n">
        <x:f>IFERROR((D36-E36)/C36,"")</x:f>
        <x:v>1.6666666666666667</x:v>
      </x:c>
      <x:c r="J36" s="14" t="n">
        <x:v>5</x:v>
      </x:c>
      <x:c r="K36" s="14" t="n">
        <x:v>3</x:v>
      </x:c>
      <x:c r="L36" s="14" t="n">
        <x:v>2</x:v>
      </x:c>
      <x:c r="M36" s="14" t="n">
        <x:v>41</x:v>
      </x:c>
    </x:row>
    <x:row r="37">
      <x:c r="A37" s="13" t="str">
        <x:v>Qatar</x:v>
      </x:c>
      <x:c r="B37" s="13" t="str">
        <x:v>Group-stage Eliminated</x:v>
      </x:c>
      <x:c r="C37" s="14" t="n">
        <x:v>3</x:v>
      </x:c>
      <x:c r="D37" s="14" t="n">
        <x:v>2</x:v>
      </x:c>
      <x:c r="E37" s="14" t="n">
        <x:v>10</x:v>
      </x:c>
      <x:c r="F37" s="14" t="n">
        <x:v>0</x:v>
      </x:c>
      <x:c r="G37" s="15" t="n">
        <x:f>IFERROR(E37/C37,"")</x:f>
        <x:v>3.3333333333333335</x:v>
      </x:c>
      <x:c r="H37" s="16" t="n">
        <x:f>IFERROR(F37/C37,"")</x:f>
        <x:v>0</x:v>
      </x:c>
      <x:c r="I37" s="15" t="n">
        <x:f>IFERROR((D37-E37)/C37,"")</x:f>
        <x:v>-2.6666666666666665</x:v>
      </x:c>
      <x:c r="J37" s="14" t="n">
        <x:v>3</x:v>
      </x:c>
      <x:c r="K37" s="14" t="n">
        <x:v>10</x:v>
      </x:c>
      <x:c r="L37" s="14" t="n">
        <x:v>0</x:v>
      </x:c>
      <x:c r="M37" s="14" t="n">
        <x:v>6</x:v>
      </x:c>
    </x:row>
    <x:row r="38">
      <x:c r="A38" s="13" t="str">
        <x:v>Saudi Arabia</x:v>
      </x:c>
      <x:c r="B38" s="13" t="str">
        <x:v>Group-stage Eliminated</x:v>
      </x:c>
      <x:c r="C38" s="14" t="n">
        <x:v>3</x:v>
      </x:c>
      <x:c r="D38" s="14" t="n">
        <x:v>1</x:v>
      </x:c>
      <x:c r="E38" s="14" t="n">
        <x:v>5</x:v>
      </x:c>
      <x:c r="F38" s="14" t="n">
        <x:v>1</x:v>
      </x:c>
      <x:c r="G38" s="15" t="n">
        <x:f>IFERROR(E38/C38,"")</x:f>
        <x:v>1.6666666666666667</x:v>
      </x:c>
      <x:c r="H38" s="16" t="n">
        <x:f>IFERROR(F38/C38,"")</x:f>
        <x:v>0.3333333333333333</x:v>
      </x:c>
      <x:c r="I38" s="15" t="n">
        <x:f>IFERROR((D38-E38)/C38,"")</x:f>
        <x:v>-1.3333333333333333</x:v>
      </x:c>
      <x:c r="J38" s="14" t="n">
        <x:v>3</x:v>
      </x:c>
      <x:c r="K38" s="14" t="n">
        <x:v>5</x:v>
      </x:c>
      <x:c r="L38" s="14" t="n">
        <x:v>1</x:v>
      </x:c>
      <x:c r="M38" s="14" t="n">
        <x:v>27</x:v>
      </x:c>
    </x:row>
    <x:row r="39">
      <x:c r="A39" s="13" t="str">
        <x:v>Scotland</x:v>
      </x:c>
      <x:c r="B39" s="13" t="str">
        <x:v>Group-stage Eliminated</x:v>
      </x:c>
      <x:c r="C39" s="14" t="n">
        <x:v>3</x:v>
      </x:c>
      <x:c r="D39" s="14" t="n">
        <x:v>1</x:v>
      </x:c>
      <x:c r="E39" s="14" t="n">
        <x:v>4</x:v>
      </x:c>
      <x:c r="F39" s="14" t="n">
        <x:v>1</x:v>
      </x:c>
      <x:c r="G39" s="15" t="n">
        <x:f>IFERROR(E39/C39,"")</x:f>
        <x:v>1.3333333333333333</x:v>
      </x:c>
      <x:c r="H39" s="16" t="n">
        <x:f>IFERROR(F39/C39,"")</x:f>
        <x:v>0.3333333333333333</x:v>
      </x:c>
      <x:c r="I39" s="15" t="n">
        <x:f>IFERROR((D39-E39)/C39,"")</x:f>
        <x:v>-1</x:v>
      </x:c>
      <x:c r="J39" s="14" t="n">
        <x:v>3</x:v>
      </x:c>
      <x:c r="K39" s="14" t="n">
        <x:v>4</x:v>
      </x:c>
      <x:c r="L39" s="14" t="n">
        <x:v>1</x:v>
      </x:c>
      <x:c r="M39" s="14" t="n">
        <x:v>34</x:v>
      </x:c>
    </x:row>
    <x:row r="40">
      <x:c r="A40" s="13" t="str">
        <x:v>Senegal</x:v>
      </x:c>
      <x:c r="B40" s="13" t="str">
        <x:v>Knockout</x:v>
      </x:c>
      <x:c r="C40" s="14" t="n">
        <x:v>3</x:v>
      </x:c>
      <x:c r="D40" s="14" t="n">
        <x:v>8</x:v>
      </x:c>
      <x:c r="E40" s="14" t="n">
        <x:v>6</x:v>
      </x:c>
      <x:c r="F40" s="14" t="n">
        <x:v>1</x:v>
      </x:c>
      <x:c r="G40" s="15" t="n">
        <x:f>IFERROR(E40/C40,"")</x:f>
        <x:v>2</x:v>
      </x:c>
      <x:c r="H40" s="16" t="n">
        <x:f>IFERROR(F40/C40,"")</x:f>
        <x:v>0.3333333333333333</x:v>
      </x:c>
      <x:c r="I40" s="15" t="n">
        <x:f>IFERROR((D40-E40)/C40,"")</x:f>
        <x:v>0.6666666666666666</x:v>
      </x:c>
      <x:c r="J40" s="14" t="n">
        <x:v>4</x:v>
      </x:c>
      <x:c r="K40" s="14" t="n">
        <x:v>9</x:v>
      </x:c>
      <x:c r="L40" s="14" t="n">
        <x:v>1</x:v>
      </x:c>
      <x:c r="M40" s="14" t="n">
        <x:v>10</x:v>
      </x:c>
    </x:row>
    <x:row r="41">
      <x:c r="A41" s="13" t="str">
        <x:v>South Africa</x:v>
      </x:c>
      <x:c r="B41" s="13" t="str">
        <x:v>Knockout</x:v>
      </x:c>
      <x:c r="C41" s="14" t="n">
        <x:v>3</x:v>
      </x:c>
      <x:c r="D41" s="14" t="n">
        <x:v>2</x:v>
      </x:c>
      <x:c r="E41" s="14" t="n">
        <x:v>3</x:v>
      </x:c>
      <x:c r="F41" s="14" t="n">
        <x:v>1</x:v>
      </x:c>
      <x:c r="G41" s="15" t="n">
        <x:f>IFERROR(E41/C41,"")</x:f>
        <x:v>1</x:v>
      </x:c>
      <x:c r="H41" s="16" t="n">
        <x:f>IFERROR(F41/C41,"")</x:f>
        <x:v>0.3333333333333333</x:v>
      </x:c>
      <x:c r="I41" s="15" t="n">
        <x:f>IFERROR((D41-E41)/C41,"")</x:f>
        <x:v>-0.3333333333333333</x:v>
      </x:c>
      <x:c r="J41" s="14" t="n">
        <x:v>4</x:v>
      </x:c>
      <x:c r="K41" s="14" t="n">
        <x:v>4</x:v>
      </x:c>
      <x:c r="L41" s="14" t="n">
        <x:v>1</x:v>
      </x:c>
      <x:c r="M41" s="14" t="n">
        <x:v>34</x:v>
      </x:c>
    </x:row>
    <x:row r="42">
      <x:c r="A42" s="13" t="str">
        <x:v>Spain</x:v>
      </x:c>
      <x:c r="B42" s="13" t="str">
        <x:v>Knockout</x:v>
      </x:c>
      <x:c r="C42" s="14" t="n">
        <x:v>3</x:v>
      </x:c>
      <x:c r="D42" s="14" t="n">
        <x:v>5</x:v>
      </x:c>
      <x:c r="E42" s="14" t="n">
        <x:v>0</x:v>
      </x:c>
      <x:c r="F42" s="14" t="n">
        <x:v>3</x:v>
      </x:c>
      <x:c r="G42" s="15" t="n">
        <x:f>IFERROR(E42/C42,"")</x:f>
        <x:v>0</x:v>
      </x:c>
      <x:c r="H42" s="16" t="n">
        <x:f>IFERROR(F42/C42,"")</x:f>
        <x:v>1</x:v>
      </x:c>
      <x:c r="I42" s="15" t="n">
        <x:f>IFERROR((D42-E42)/C42,"")</x:f>
        <x:v>1.6666666666666667</x:v>
      </x:c>
      <x:c r="J42" s="14" t="n">
        <x:v>8</x:v>
      </x:c>
      <x:c r="K42" s="14" t="n">
        <x:v>1</x:v>
      </x:c>
      <x:c r="L42" s="14" t="n">
        <x:v>7</x:v>
      </x:c>
      <x:c r="M42" s="14" t="n">
        <x:v>47</x:v>
      </x:c>
    </x:row>
    <x:row r="43">
      <x:c r="A43" s="13" t="str">
        <x:v>Sweden</x:v>
      </x:c>
      <x:c r="B43" s="13" t="str">
        <x:v>Knockout</x:v>
      </x:c>
      <x:c r="C43" s="14" t="n">
        <x:v>3</x:v>
      </x:c>
      <x:c r="D43" s="14" t="n">
        <x:v>7</x:v>
      </x:c>
      <x:c r="E43" s="14" t="n">
        <x:v>7</x:v>
      </x:c>
      <x:c r="F43" s="14" t="n">
        <x:v>0</x:v>
      </x:c>
      <x:c r="G43" s="15" t="n">
        <x:f>IFERROR(E43/C43,"")</x:f>
        <x:v>2.3333333333333335</x:v>
      </x:c>
      <x:c r="H43" s="16" t="n">
        <x:f>IFERROR(F43/C43,"")</x:f>
        <x:v>0</x:v>
      </x:c>
      <x:c r="I43" s="15" t="n">
        <x:f>IFERROR((D43-E43)/C43,"")</x:f>
        <x:v>0</x:v>
      </x:c>
      <x:c r="J43" s="14" t="n">
        <x:v>4</x:v>
      </x:c>
      <x:c r="K43" s="14" t="n">
        <x:v>10</x:v>
      </x:c>
      <x:c r="L43" s="14" t="n">
        <x:v>0</x:v>
      </x:c>
      <x:c r="M43" s="14" t="n">
        <x:v>6</x:v>
      </x:c>
    </x:row>
    <x:row r="44">
      <x:c r="A44" s="13" t="str">
        <x:v>Switzerland</x:v>
      </x:c>
      <x:c r="B44" s="13" t="str">
        <x:v>Knockout</x:v>
      </x:c>
      <x:c r="C44" s="14" t="n">
        <x:v>3</x:v>
      </x:c>
      <x:c r="D44" s="14" t="n">
        <x:v>7</x:v>
      </x:c>
      <x:c r="E44" s="14" t="n">
        <x:v>3</x:v>
      </x:c>
      <x:c r="F44" s="14" t="n">
        <x:v>0</x:v>
      </x:c>
      <x:c r="G44" s="15" t="n">
        <x:f>IFERROR(E44/C44,"")</x:f>
        <x:v>1</x:v>
      </x:c>
      <x:c r="H44" s="16" t="n">
        <x:f>IFERROR(F44/C44,"")</x:f>
        <x:v>0</x:v>
      </x:c>
      <x:c r="I44" s="15" t="n">
        <x:f>IFERROR((D44-E44)/C44,"")</x:f>
        <x:v>1.3333333333333333</x:v>
      </x:c>
      <x:c r="J44" s="14" t="n">
        <x:v>6</x:v>
      </x:c>
      <x:c r="K44" s="14" t="n">
        <x:v>6</x:v>
      </x:c>
      <x:c r="L44" s="14" t="n">
        <x:v>2</x:v>
      </x:c>
      <x:c r="M44" s="14" t="n">
        <x:v>22</x:v>
      </x:c>
    </x:row>
    <x:row r="45">
      <x:c r="A45" s="13" t="str">
        <x:v>Tunisia</x:v>
      </x:c>
      <x:c r="B45" s="13" t="str">
        <x:v>Group-stage Eliminated</x:v>
      </x:c>
      <x:c r="C45" s="14" t="n">
        <x:v>3</x:v>
      </x:c>
      <x:c r="D45" s="14" t="n">
        <x:v>2</x:v>
      </x:c>
      <x:c r="E45" s="14" t="n">
        <x:v>12</x:v>
      </x:c>
      <x:c r="F45" s="14" t="n">
        <x:v>0</x:v>
      </x:c>
      <x:c r="G45" s="15" t="n">
        <x:f>IFERROR(E45/C45,"")</x:f>
        <x:v>4</x:v>
      </x:c>
      <x:c r="H45" s="16" t="n">
        <x:f>IFERROR(F45/C45,"")</x:f>
        <x:v>0</x:v>
      </x:c>
      <x:c r="I45" s="15" t="n">
        <x:f>IFERROR((D45-E45)/C45,"")</x:f>
        <x:v>-3.3333333333333335</x:v>
      </x:c>
      <x:c r="J45" s="14" t="n">
        <x:v>3</x:v>
      </x:c>
      <x:c r="K45" s="14" t="n">
        <x:v>12</x:v>
      </x:c>
      <x:c r="L45" s="14" t="n">
        <x:v>0</x:v>
      </x:c>
      <x:c r="M45" s="14" t="n">
        <x:v>1</x:v>
      </x:c>
    </x:row>
    <x:row r="46">
      <x:c r="A46" s="13" t="str">
        <x:v>Türkiye</x:v>
      </x:c>
      <x:c r="B46" s="13" t="str">
        <x:v>Group-stage Eliminated</x:v>
      </x:c>
      <x:c r="C46" s="14" t="n">
        <x:v>3</x:v>
      </x:c>
      <x:c r="D46" s="14" t="n">
        <x:v>3</x:v>
      </x:c>
      <x:c r="E46" s="14" t="n">
        <x:v>5</x:v>
      </x:c>
      <x:c r="F46" s="14" t="n">
        <x:v>0</x:v>
      </x:c>
      <x:c r="G46" s="15" t="n">
        <x:f>IFERROR(E46/C46,"")</x:f>
        <x:v>1.6666666666666667</x:v>
      </x:c>
      <x:c r="H46" s="16" t="n">
        <x:f>IFERROR(F46/C46,"")</x:f>
        <x:v>0</x:v>
      </x:c>
      <x:c r="I46" s="15" t="n">
        <x:f>IFERROR((D46-E46)/C46,"")</x:f>
        <x:v>-0.6666666666666666</x:v>
      </x:c>
      <x:c r="J46" s="14" t="n">
        <x:v>3</x:v>
      </x:c>
      <x:c r="K46" s="14" t="n">
        <x:v>5</x:v>
      </x:c>
      <x:c r="L46" s="14" t="n">
        <x:v>0</x:v>
      </x:c>
      <x:c r="M46" s="14" t="n">
        <x:v>27</x:v>
      </x:c>
    </x:row>
    <x:row r="47">
      <x:c r="A47" s="13" t="str">
        <x:v>USA</x:v>
      </x:c>
      <x:c r="B47" s="13" t="str">
        <x:v>Knockout</x:v>
      </x:c>
      <x:c r="C47" s="14" t="n">
        <x:v>3</x:v>
      </x:c>
      <x:c r="D47" s="14" t="n">
        <x:v>8</x:v>
      </x:c>
      <x:c r="E47" s="14" t="n">
        <x:v>4</x:v>
      </x:c>
      <x:c r="F47" s="14" t="n">
        <x:v>1</x:v>
      </x:c>
      <x:c r="G47" s="15" t="n">
        <x:f>IFERROR(E47/C47,"")</x:f>
        <x:v>1.3333333333333333</x:v>
      </x:c>
      <x:c r="H47" s="16" t="n">
        <x:f>IFERROR(F47/C47,"")</x:f>
        <x:v>0.3333333333333333</x:v>
      </x:c>
      <x:c r="I47" s="15" t="n">
        <x:f>IFERROR((D47-E47)/C47,"")</x:f>
        <x:v>1.3333333333333333</x:v>
      </x:c>
      <x:c r="J47" s="14" t="n">
        <x:v>5</x:v>
      </x:c>
      <x:c r="K47" s="14" t="n">
        <x:v>8</x:v>
      </x:c>
      <x:c r="L47" s="14" t="n">
        <x:v>2</x:v>
      </x:c>
      <x:c r="M47" s="14" t="n">
        <x:v>14</x:v>
      </x:c>
    </x:row>
    <x:row r="48">
      <x:c r="A48" s="13" t="str">
        <x:v>Uruguay</x:v>
      </x:c>
      <x:c r="B48" s="13" t="str">
        <x:v>Group-stage Eliminated</x:v>
      </x:c>
      <x:c r="C48" s="14" t="n">
        <x:v>3</x:v>
      </x:c>
      <x:c r="D48" s="14" t="n">
        <x:v>3</x:v>
      </x:c>
      <x:c r="E48" s="14" t="n">
        <x:v>4</x:v>
      </x:c>
      <x:c r="F48" s="14" t="n">
        <x:v>0</x:v>
      </x:c>
      <x:c r="G48" s="15" t="n">
        <x:f>IFERROR(E48/C48,"")</x:f>
        <x:v>1.3333333333333333</x:v>
      </x:c>
      <x:c r="H48" s="16" t="n">
        <x:f>IFERROR(F48/C48,"")</x:f>
        <x:v>0</x:v>
      </x:c>
      <x:c r="I48" s="15" t="n">
        <x:f>IFERROR((D48-E48)/C48,"")</x:f>
        <x:v>-0.3333333333333333</x:v>
      </x:c>
      <x:c r="J48" s="14" t="n">
        <x:v>3</x:v>
      </x:c>
      <x:c r="K48" s="14" t="n">
        <x:v>4</x:v>
      </x:c>
      <x:c r="L48" s="14" t="n">
        <x:v>0</x:v>
      </x:c>
      <x:c r="M48" s="14" t="n">
        <x:v>34</x:v>
      </x:c>
    </x:row>
    <x:row r="49">
      <x:c r="A49" s="13" t="str">
        <x:v>Uzbekistan</x:v>
      </x:c>
      <x:c r="B49" s="13" t="str">
        <x:v>Group-stage Eliminated</x:v>
      </x:c>
      <x:c r="C49" s="14" t="n">
        <x:v>3</x:v>
      </x:c>
      <x:c r="D49" s="14" t="n">
        <x:v>2</x:v>
      </x:c>
      <x:c r="E49" s="14" t="n">
        <x:v>11</x:v>
      </x:c>
      <x:c r="F49" s="14" t="n">
        <x:v>0</x:v>
      </x:c>
      <x:c r="G49" s="15" t="n">
        <x:f>IFERROR(E49/C49,"")</x:f>
        <x:v>3.6666666666666665</x:v>
      </x:c>
      <x:c r="H49" s="16" t="n">
        <x:f>IFERROR(F49/C49,"")</x:f>
        <x:v>0</x:v>
      </x:c>
      <x:c r="I49" s="15" t="n">
        <x:f>IFERROR((D49-E49)/C49,"")</x:f>
        <x:v>-3</x:v>
      </x:c>
      <x:c r="J49" s="14" t="n">
        <x:v>3</x:v>
      </x:c>
      <x:c r="K49" s="14" t="n">
        <x:v>11</x:v>
      </x:c>
      <x:c r="L49" s="14" t="n">
        <x:v>0</x:v>
      </x:c>
      <x:c r="M49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5527b82b43a644b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4" hidden="0" customWidth="1"/>
    <x:col min="6" max="6" width="12" hidden="0" customWidth="1"/>
    <x:col min="7" max="7" width="24" hidden="0" customWidth="1"/>
    <x:col min="8" max="8" width="12" hidden="0" customWidth="1"/>
    <x:col min="9" max="9" width="32" hidden="0" customWidth="1"/>
    <x:col min="10" max="10" width="42" hidden="0" customWidth="1"/>
  </x:cols>
  <x:sheetData>
    <x:row r="1" ht="48" customHeight="1">
      <x:c r="A1" s="12" t="str">
        <x:v>Match ID</x:v>
      </x:c>
      <x:c r="B1" s="12" t="str">
        <x:v>Round</x:v>
      </x:c>
      <x:c r="C1" s="12" t="str">
        <x:v>Week</x:v>
      </x:c>
      <x:c r="D1" s="12" t="str">
        <x:v>Date</x:v>
      </x:c>
      <x:c r="E1" s="12" t="str">
        <x:v>Home Team</x:v>
      </x:c>
      <x:c r="F1" s="12" t="str">
        <x:v>Home Goals</x:v>
      </x:c>
      <x:c r="G1" s="12" t="str">
        <x:v>Away Team</x:v>
      </x:c>
      <x:c r="H1" s="12" t="str">
        <x:v>Away Goals</x:v>
      </x:c>
      <x:c r="I1" s="12" t="str">
        <x:v>Venue</x:v>
      </x:c>
      <x:c r="J1" s="12" t="str">
        <x:v>Notes</x:v>
      </x:c>
    </x:row>
    <x:row r="2">
      <x:c r="A2" s="20" t="str">
        <x:v>M001</x:v>
      </x:c>
      <x:c r="B2" s="20" t="str">
        <x:v>Group stage</x:v>
      </x:c>
      <x:c r="C2" s="20" t="str">
        <x:v>1</x:v>
      </x:c>
      <x:c r="D2" s="21" t="n">
        <x:v>46184</x:v>
      </x:c>
      <x:c r="E2" s="20" t="str">
        <x:v>Mexico</x:v>
      </x:c>
      <x:c r="F2" s="22" t="n">
        <x:v>2</x:v>
      </x:c>
      <x:c r="G2" s="22" t="str">
        <x:v>South Africa</x:v>
      </x:c>
      <x:c r="H2" s="22" t="n">
        <x:v>0</x:v>
      </x:c>
      <x:c r="I2" s="20" t="str">
        <x:v>Estadio Banorte (Neutral Site)</x:v>
      </x:c>
      <x:c r="J2" s="20" t="str"/>
    </x:row>
    <x:row r="3">
      <x:c r="A3" s="20" t="str">
        <x:v>M002</x:v>
      </x:c>
      <x:c r="B3" s="20" t="str">
        <x:v>Group stage</x:v>
      </x:c>
      <x:c r="C3" s="20" t="str">
        <x:v>1</x:v>
      </x:c>
      <x:c r="D3" s="21" t="n">
        <x:v>46184</x:v>
      </x:c>
      <x:c r="E3" s="20" t="str">
        <x:v>Korea Republic</x:v>
      </x:c>
      <x:c r="F3" s="22" t="n">
        <x:v>2</x:v>
      </x:c>
      <x:c r="G3" s="22" t="str">
        <x:v>Czechia</x:v>
      </x:c>
      <x:c r="H3" s="22" t="n">
        <x:v>1</x:v>
      </x:c>
      <x:c r="I3" s="20" t="str">
        <x:v>Estadio Akron (Neutral Site)</x:v>
      </x:c>
      <x:c r="J3" s="20" t="str"/>
    </x:row>
    <x:row r="4">
      <x:c r="A4" s="20" t="str">
        <x:v>M003</x:v>
      </x:c>
      <x:c r="B4" s="20" t="str">
        <x:v>Group stage</x:v>
      </x:c>
      <x:c r="C4" s="20" t="str">
        <x:v>1</x:v>
      </x:c>
      <x:c r="D4" s="21" t="n">
        <x:v>46185</x:v>
      </x:c>
      <x:c r="E4" s="20" t="str">
        <x:v>Canada</x:v>
      </x:c>
      <x:c r="F4" s="22" t="n">
        <x:v>1</x:v>
      </x:c>
      <x:c r="G4" s="22" t="str">
        <x:v>Bosnia and Herzegovina</x:v>
      </x:c>
      <x:c r="H4" s="22" t="n">
        <x:v>1</x:v>
      </x:c>
      <x:c r="I4" s="20" t="str">
        <x:v>BMO Field (Neutral Site)</x:v>
      </x:c>
      <x:c r="J4" s="20" t="str"/>
    </x:row>
    <x:row r="5">
      <x:c r="A5" s="20" t="str">
        <x:v>M004</x:v>
      </x:c>
      <x:c r="B5" s="20" t="str">
        <x:v>Group stage</x:v>
      </x:c>
      <x:c r="C5" s="20" t="str">
        <x:v>1</x:v>
      </x:c>
      <x:c r="D5" s="21" t="n">
        <x:v>46185</x:v>
      </x:c>
      <x:c r="E5" s="20" t="str">
        <x:v>USA</x:v>
      </x:c>
      <x:c r="F5" s="22" t="n">
        <x:v>4</x:v>
      </x:c>
      <x:c r="G5" s="22" t="str">
        <x:v>Paraguay</x:v>
      </x:c>
      <x:c r="H5" s="22" t="n">
        <x:v>1</x:v>
      </x:c>
      <x:c r="I5" s="20" t="str">
        <x:v>SoFi Stadium (Neutral Site)</x:v>
      </x:c>
      <x:c r="J5" s="20" t="str"/>
    </x:row>
    <x:row r="6">
      <x:c r="A6" s="20" t="str">
        <x:v>M005</x:v>
      </x:c>
      <x:c r="B6" s="20" t="str">
        <x:v>Group stage</x:v>
      </x:c>
      <x:c r="C6" s="20" t="str">
        <x:v>1</x:v>
      </x:c>
      <x:c r="D6" s="21" t="n">
        <x:v>46186</x:v>
      </x:c>
      <x:c r="E6" s="20" t="str">
        <x:v>Qatar</x:v>
      </x:c>
      <x:c r="F6" s="22" t="n">
        <x:v>1</x:v>
      </x:c>
      <x:c r="G6" s="22" t="str">
        <x:v>Switzerland</x:v>
      </x:c>
      <x:c r="H6" s="22" t="n">
        <x:v>1</x:v>
      </x:c>
      <x:c r="I6" s="20" t="str">
        <x:v>Levi's Stadium (Neutral Site)</x:v>
      </x:c>
      <x:c r="J6" s="20" t="str"/>
    </x:row>
    <x:row r="7">
      <x:c r="A7" s="20" t="str">
        <x:v>M006</x:v>
      </x:c>
      <x:c r="B7" s="20" t="str">
        <x:v>Group stage</x:v>
      </x:c>
      <x:c r="C7" s="20" t="str">
        <x:v>1</x:v>
      </x:c>
      <x:c r="D7" s="21" t="n">
        <x:v>46186</x:v>
      </x:c>
      <x:c r="E7" s="20" t="str">
        <x:v>Brazil</x:v>
      </x:c>
      <x:c r="F7" s="22" t="n">
        <x:v>1</x:v>
      </x:c>
      <x:c r="G7" s="22" t="str">
        <x:v>Morocco</x:v>
      </x:c>
      <x:c r="H7" s="22" t="n">
        <x:v>1</x:v>
      </x:c>
      <x:c r="I7" s="20" t="str">
        <x:v>MetLife Stadium (Neutral Site)</x:v>
      </x:c>
      <x:c r="J7" s="20" t="str"/>
    </x:row>
    <x:row r="8">
      <x:c r="A8" s="20" t="str">
        <x:v>M007</x:v>
      </x:c>
      <x:c r="B8" s="20" t="str">
        <x:v>Group stage</x:v>
      </x:c>
      <x:c r="C8" s="20" t="str">
        <x:v>1</x:v>
      </x:c>
      <x:c r="D8" s="21" t="n">
        <x:v>46186</x:v>
      </x:c>
      <x:c r="E8" s="20" t="str">
        <x:v>Australia</x:v>
      </x:c>
      <x:c r="F8" s="22" t="n">
        <x:v>2</x:v>
      </x:c>
      <x:c r="G8" s="22" t="str">
        <x:v>Türkiye</x:v>
      </x:c>
      <x:c r="H8" s="22" t="n">
        <x:v>0</x:v>
      </x:c>
      <x:c r="I8" s="20" t="str">
        <x:v>BC Place Stadium (Neutral Site)</x:v>
      </x:c>
      <x:c r="J8" s="20" t="str"/>
    </x:row>
    <x:row r="9">
      <x:c r="A9" s="20" t="str">
        <x:v>M008</x:v>
      </x:c>
      <x:c r="B9" s="20" t="str">
        <x:v>Group stage</x:v>
      </x:c>
      <x:c r="C9" s="20" t="str">
        <x:v>1</x:v>
      </x:c>
      <x:c r="D9" s="21" t="n">
        <x:v>46186</x:v>
      </x:c>
      <x:c r="E9" s="20" t="str">
        <x:v>Haiti</x:v>
      </x:c>
      <x:c r="F9" s="22" t="n">
        <x:v>0</x:v>
      </x:c>
      <x:c r="G9" s="22" t="str">
        <x:v>Scotland</x:v>
      </x:c>
      <x:c r="H9" s="22" t="n">
        <x:v>1</x:v>
      </x:c>
      <x:c r="I9" s="20" t="str">
        <x:v>Gillette Stadium (Neutral Site)</x:v>
      </x:c>
      <x:c r="J9" s="20" t="str"/>
    </x:row>
    <x:row r="10">
      <x:c r="A10" s="20" t="str">
        <x:v>M009</x:v>
      </x:c>
      <x:c r="B10" s="20" t="str">
        <x:v>Group stage</x:v>
      </x:c>
      <x:c r="C10" s="20" t="str">
        <x:v>1</x:v>
      </x:c>
      <x:c r="D10" s="21" t="n">
        <x:v>46187</x:v>
      </x:c>
      <x:c r="E10" s="20" t="str">
        <x:v>Germany</x:v>
      </x:c>
      <x:c r="F10" s="22" t="n">
        <x:v>7</x:v>
      </x:c>
      <x:c r="G10" s="22" t="str">
        <x:v>Curaçao</x:v>
      </x:c>
      <x:c r="H10" s="22" t="n">
        <x:v>1</x:v>
      </x:c>
      <x:c r="I10" s="20" t="str">
        <x:v>Reliant Stadium (Neutral Site)</x:v>
      </x:c>
      <x:c r="J10" s="20" t="str"/>
    </x:row>
    <x:row r="11">
      <x:c r="A11" s="20" t="str">
        <x:v>M010</x:v>
      </x:c>
      <x:c r="B11" s="20" t="str">
        <x:v>Group stage</x:v>
      </x:c>
      <x:c r="C11" s="20" t="str">
        <x:v>1</x:v>
      </x:c>
      <x:c r="D11" s="21" t="n">
        <x:v>46187</x:v>
      </x:c>
      <x:c r="E11" s="20" t="str">
        <x:v>Netherlands</x:v>
      </x:c>
      <x:c r="F11" s="22" t="n">
        <x:v>2</x:v>
      </x:c>
      <x:c r="G11" s="22" t="str">
        <x:v>Japan</x:v>
      </x:c>
      <x:c r="H11" s="22" t="n">
        <x:v>2</x:v>
      </x:c>
      <x:c r="I11" s="20" t="str">
        <x:v>AT&amp;T Stadium (Neutral Site)</x:v>
      </x:c>
      <x:c r="J11" s="20" t="str"/>
    </x:row>
    <x:row r="12">
      <x:c r="A12" s="20" t="str">
        <x:v>M011</x:v>
      </x:c>
      <x:c r="B12" s="20" t="str">
        <x:v>Group stage</x:v>
      </x:c>
      <x:c r="C12" s="20" t="str">
        <x:v>1</x:v>
      </x:c>
      <x:c r="D12" s="21" t="n">
        <x:v>46187</x:v>
      </x:c>
      <x:c r="E12" s="20" t="str">
        <x:v>Côte d'Ivoire</x:v>
      </x:c>
      <x:c r="F12" s="22" t="n">
        <x:v>1</x:v>
      </x:c>
      <x:c r="G12" s="22" t="str">
        <x:v>Ecuador</x:v>
      </x:c>
      <x:c r="H12" s="22" t="n">
        <x:v>0</x:v>
      </x:c>
      <x:c r="I12" s="20" t="str">
        <x:v>Lincoln Financial Field (Neutral Site)</x:v>
      </x:c>
      <x:c r="J12" s="20" t="str"/>
    </x:row>
    <x:row r="13">
      <x:c r="A13" s="20" t="str">
        <x:v>M012</x:v>
      </x:c>
      <x:c r="B13" s="20" t="str">
        <x:v>Group stage</x:v>
      </x:c>
      <x:c r="C13" s="20" t="str">
        <x:v>1</x:v>
      </x:c>
      <x:c r="D13" s="21" t="n">
        <x:v>46187</x:v>
      </x:c>
      <x:c r="E13" s="20" t="str">
        <x:v>Sweden</x:v>
      </x:c>
      <x:c r="F13" s="22" t="n">
        <x:v>5</x:v>
      </x:c>
      <x:c r="G13" s="22" t="str">
        <x:v>Tunisia</x:v>
      </x:c>
      <x:c r="H13" s="22" t="n">
        <x:v>1</x:v>
      </x:c>
      <x:c r="I13" s="20" t="str">
        <x:v>Estadio BBVA (Neutral Site)</x:v>
      </x:c>
      <x:c r="J13" s="20" t="str"/>
    </x:row>
    <x:row r="14">
      <x:c r="A14" s="20" t="str">
        <x:v>M013</x:v>
      </x:c>
      <x:c r="B14" s="20" t="str">
        <x:v>Group stage</x:v>
      </x:c>
      <x:c r="C14" s="20" t="str">
        <x:v>1</x:v>
      </x:c>
      <x:c r="D14" s="21" t="n">
        <x:v>46188</x:v>
      </x:c>
      <x:c r="E14" s="20" t="str">
        <x:v>Belgium</x:v>
      </x:c>
      <x:c r="F14" s="22" t="n">
        <x:v>1</x:v>
      </x:c>
      <x:c r="G14" s="22" t="str">
        <x:v>Egypt</x:v>
      </x:c>
      <x:c r="H14" s="22" t="n">
        <x:v>1</x:v>
      </x:c>
      <x:c r="I14" s="20" t="str">
        <x:v>Lumen Field (Neutral Site)</x:v>
      </x:c>
      <x:c r="J14" s="20" t="str"/>
    </x:row>
    <x:row r="15">
      <x:c r="A15" s="20" t="str">
        <x:v>M014</x:v>
      </x:c>
      <x:c r="B15" s="20" t="str">
        <x:v>Group stage</x:v>
      </x:c>
      <x:c r="C15" s="20" t="str">
        <x:v>1</x:v>
      </x:c>
      <x:c r="D15" s="21" t="n">
        <x:v>46188</x:v>
      </x:c>
      <x:c r="E15" s="20" t="str">
        <x:v>Spain</x:v>
      </x:c>
      <x:c r="F15" s="22" t="n">
        <x:v>0</x:v>
      </x:c>
      <x:c r="G15" s="22" t="str">
        <x:v>Cabo Verde</x:v>
      </x:c>
      <x:c r="H15" s="22" t="n">
        <x:v>0</x:v>
      </x:c>
      <x:c r="I15" s="20" t="str">
        <x:v>Mercedes-Benz Stadium (Neutral Site)</x:v>
      </x:c>
      <x:c r="J15" s="20" t="str"/>
    </x:row>
    <x:row r="16">
      <x:c r="A16" s="20" t="str">
        <x:v>M015</x:v>
      </x:c>
      <x:c r="B16" s="20" t="str">
        <x:v>Group stage</x:v>
      </x:c>
      <x:c r="C16" s="20" t="str">
        <x:v>1</x:v>
      </x:c>
      <x:c r="D16" s="21" t="n">
        <x:v>46188</x:v>
      </x:c>
      <x:c r="E16" s="20" t="str">
        <x:v>Saudi Arabia</x:v>
      </x:c>
      <x:c r="F16" s="22" t="n">
        <x:v>1</x:v>
      </x:c>
      <x:c r="G16" s="22" t="str">
        <x:v>Uruguay</x:v>
      </x:c>
      <x:c r="H16" s="22" t="n">
        <x:v>1</x:v>
      </x:c>
      <x:c r="I16" s="20" t="str">
        <x:v>Hard Rock Stadium (Neutral Site)</x:v>
      </x:c>
      <x:c r="J16" s="20" t="str"/>
    </x:row>
    <x:row r="17">
      <x:c r="A17" s="20" t="str">
        <x:v>M016</x:v>
      </x:c>
      <x:c r="B17" s="20" t="str">
        <x:v>Group stage</x:v>
      </x:c>
      <x:c r="C17" s="20" t="str">
        <x:v>1</x:v>
      </x:c>
      <x:c r="D17" s="21" t="n">
        <x:v>46188</x:v>
      </x:c>
      <x:c r="E17" s="20" t="str">
        <x:v>IR Iran</x:v>
      </x:c>
      <x:c r="F17" s="22" t="n">
        <x:v>2</x:v>
      </x:c>
      <x:c r="G17" s="22" t="str">
        <x:v>New Zealand</x:v>
      </x:c>
      <x:c r="H17" s="22" t="n">
        <x:v>2</x:v>
      </x:c>
      <x:c r="I17" s="20" t="str">
        <x:v>SoFi Stadium (Neutral Site)</x:v>
      </x:c>
      <x:c r="J17" s="20" t="str"/>
    </x:row>
    <x:row r="18">
      <x:c r="A18" s="20" t="str">
        <x:v>M017</x:v>
      </x:c>
      <x:c r="B18" s="20" t="str">
        <x:v>Group stage</x:v>
      </x:c>
      <x:c r="C18" s="20" t="str">
        <x:v>1</x:v>
      </x:c>
      <x:c r="D18" s="21" t="n">
        <x:v>46189</x:v>
      </x:c>
      <x:c r="E18" s="20" t="str">
        <x:v>France</x:v>
      </x:c>
      <x:c r="F18" s="22" t="n">
        <x:v>3</x:v>
      </x:c>
      <x:c r="G18" s="22" t="str">
        <x:v>Senegal</x:v>
      </x:c>
      <x:c r="H18" s="22" t="n">
        <x:v>1</x:v>
      </x:c>
      <x:c r="I18" s="20" t="str">
        <x:v>MetLife Stadium (Neutral Site)</x:v>
      </x:c>
      <x:c r="J18" s="20" t="str"/>
    </x:row>
    <x:row r="19">
      <x:c r="A19" s="20" t="str">
        <x:v>M018</x:v>
      </x:c>
      <x:c r="B19" s="20" t="str">
        <x:v>Group stage</x:v>
      </x:c>
      <x:c r="C19" s="20" t="str">
        <x:v>1</x:v>
      </x:c>
      <x:c r="D19" s="21" t="n">
        <x:v>46189</x:v>
      </x:c>
      <x:c r="E19" s="20" t="str">
        <x:v>Iraq</x:v>
      </x:c>
      <x:c r="F19" s="22" t="n">
        <x:v>1</x:v>
      </x:c>
      <x:c r="G19" s="22" t="str">
        <x:v>Norway</x:v>
      </x:c>
      <x:c r="H19" s="22" t="n">
        <x:v>4</x:v>
      </x:c>
      <x:c r="I19" s="20" t="str">
        <x:v>Gillette Stadium (Neutral Site)</x:v>
      </x:c>
      <x:c r="J19" s="20" t="str"/>
    </x:row>
    <x:row r="20">
      <x:c r="A20" s="20" t="str">
        <x:v>M019</x:v>
      </x:c>
      <x:c r="B20" s="20" t="str">
        <x:v>Group stage</x:v>
      </x:c>
      <x:c r="C20" s="20" t="str">
        <x:v>1</x:v>
      </x:c>
      <x:c r="D20" s="21" t="n">
        <x:v>46189</x:v>
      </x:c>
      <x:c r="E20" s="20" t="str">
        <x:v>Argentina</x:v>
      </x:c>
      <x:c r="F20" s="22" t="n">
        <x:v>3</x:v>
      </x:c>
      <x:c r="G20" s="22" t="str">
        <x:v>Algeria</x:v>
      </x:c>
      <x:c r="H20" s="22" t="n">
        <x:v>0</x:v>
      </x:c>
      <x:c r="I20" s="20" t="str">
        <x:v>GEHA Field at Arrowhead Stadium (Neutral Site)</x:v>
      </x:c>
      <x:c r="J20" s="20" t="str"/>
    </x:row>
    <x:row r="21">
      <x:c r="A21" s="20" t="str">
        <x:v>M020</x:v>
      </x:c>
      <x:c r="B21" s="20" t="str">
        <x:v>Group stage</x:v>
      </x:c>
      <x:c r="C21" s="20" t="str">
        <x:v>1</x:v>
      </x:c>
      <x:c r="D21" s="21" t="n">
        <x:v>46189</x:v>
      </x:c>
      <x:c r="E21" s="20" t="str">
        <x:v>Austria</x:v>
      </x:c>
      <x:c r="F21" s="22" t="n">
        <x:v>3</x:v>
      </x:c>
      <x:c r="G21" s="22" t="str">
        <x:v>Jordan</x:v>
      </x:c>
      <x:c r="H21" s="22" t="n">
        <x:v>1</x:v>
      </x:c>
      <x:c r="I21" s="20" t="str">
        <x:v>Levi's Stadium (Neutral Site)</x:v>
      </x:c>
      <x:c r="J21" s="20" t="str"/>
    </x:row>
    <x:row r="22">
      <x:c r="A22" s="20" t="str">
        <x:v>M021</x:v>
      </x:c>
      <x:c r="B22" s="20" t="str">
        <x:v>Group stage</x:v>
      </x:c>
      <x:c r="C22" s="20" t="str">
        <x:v>1</x:v>
      </x:c>
      <x:c r="D22" s="21" t="n">
        <x:v>46190</x:v>
      </x:c>
      <x:c r="E22" s="20" t="str">
        <x:v>Portugal</x:v>
      </x:c>
      <x:c r="F22" s="22" t="n">
        <x:v>1</x:v>
      </x:c>
      <x:c r="G22" s="22" t="str">
        <x:v>Congo DR</x:v>
      </x:c>
      <x:c r="H22" s="22" t="n">
        <x:v>1</x:v>
      </x:c>
      <x:c r="I22" s="20" t="str">
        <x:v>Reliant Stadium (Neutral Site)</x:v>
      </x:c>
      <x:c r="J22" s="20" t="str"/>
    </x:row>
    <x:row r="23">
      <x:c r="A23" s="20" t="str">
        <x:v>M022</x:v>
      </x:c>
      <x:c r="B23" s="20" t="str">
        <x:v>Group stage</x:v>
      </x:c>
      <x:c r="C23" s="20" t="str">
        <x:v>1</x:v>
      </x:c>
      <x:c r="D23" s="21" t="n">
        <x:v>46190</x:v>
      </x:c>
      <x:c r="E23" s="20" t="str">
        <x:v>England</x:v>
      </x:c>
      <x:c r="F23" s="22" t="n">
        <x:v>4</x:v>
      </x:c>
      <x:c r="G23" s="22" t="str">
        <x:v>Croatia</x:v>
      </x:c>
      <x:c r="H23" s="22" t="n">
        <x:v>2</x:v>
      </x:c>
      <x:c r="I23" s="20" t="str">
        <x:v>AT&amp;T Stadium (Neutral Site)</x:v>
      </x:c>
      <x:c r="J23" s="20" t="str"/>
    </x:row>
    <x:row r="24">
      <x:c r="A24" s="20" t="str">
        <x:v>M023</x:v>
      </x:c>
      <x:c r="B24" s="20" t="str">
        <x:v>Group stage</x:v>
      </x:c>
      <x:c r="C24" s="20" t="str">
        <x:v>1</x:v>
      </x:c>
      <x:c r="D24" s="21" t="n">
        <x:v>46190</x:v>
      </x:c>
      <x:c r="E24" s="20" t="str">
        <x:v>Ghana</x:v>
      </x:c>
      <x:c r="F24" s="22" t="n">
        <x:v>1</x:v>
      </x:c>
      <x:c r="G24" s="22" t="str">
        <x:v>Panama</x:v>
      </x:c>
      <x:c r="H24" s="22" t="n">
        <x:v>0</x:v>
      </x:c>
      <x:c r="I24" s="20" t="str">
        <x:v>BMO Field (Neutral Site)</x:v>
      </x:c>
      <x:c r="J24" s="20" t="str"/>
    </x:row>
    <x:row r="25">
      <x:c r="A25" s="20" t="str">
        <x:v>M024</x:v>
      </x:c>
      <x:c r="B25" s="20" t="str">
        <x:v>Group stage</x:v>
      </x:c>
      <x:c r="C25" s="20" t="str">
        <x:v>1</x:v>
      </x:c>
      <x:c r="D25" s="21" t="n">
        <x:v>46190</x:v>
      </x:c>
      <x:c r="E25" s="20" t="str">
        <x:v>Uzbekistan</x:v>
      </x:c>
      <x:c r="F25" s="22" t="n">
        <x:v>1</x:v>
      </x:c>
      <x:c r="G25" s="22" t="str">
        <x:v>Colombia</x:v>
      </x:c>
      <x:c r="H25" s="22" t="n">
        <x:v>3</x:v>
      </x:c>
      <x:c r="I25" s="20" t="str">
        <x:v>Estadio Banorte (Neutral Site)</x:v>
      </x:c>
      <x:c r="J25" s="20" t="str"/>
    </x:row>
    <x:row r="26">
      <x:c r="A26" s="20" t="str">
        <x:v>M025</x:v>
      </x:c>
      <x:c r="B26" s="20" t="str">
        <x:v>Group stage</x:v>
      </x:c>
      <x:c r="C26" s="20" t="str">
        <x:v>2</x:v>
      </x:c>
      <x:c r="D26" s="21" t="n">
        <x:v>46191</x:v>
      </x:c>
      <x:c r="E26" s="20" t="str">
        <x:v>Czechia</x:v>
      </x:c>
      <x:c r="F26" s="22" t="n">
        <x:v>1</x:v>
      </x:c>
      <x:c r="G26" s="22" t="str">
        <x:v>South Africa</x:v>
      </x:c>
      <x:c r="H26" s="22" t="n">
        <x:v>1</x:v>
      </x:c>
      <x:c r="I26" s="20" t="str">
        <x:v>Mercedes-Benz Stadium (Neutral Site)</x:v>
      </x:c>
      <x:c r="J26" s="20" t="str"/>
    </x:row>
    <x:row r="27">
      <x:c r="A27" s="20" t="str">
        <x:v>M026</x:v>
      </x:c>
      <x:c r="B27" s="20" t="str">
        <x:v>Group stage</x:v>
      </x:c>
      <x:c r="C27" s="20" t="str">
        <x:v>2</x:v>
      </x:c>
      <x:c r="D27" s="21" t="n">
        <x:v>46191</x:v>
      </x:c>
      <x:c r="E27" s="20" t="str">
        <x:v>Switzerland</x:v>
      </x:c>
      <x:c r="F27" s="22" t="n">
        <x:v>4</x:v>
      </x:c>
      <x:c r="G27" s="22" t="str">
        <x:v>Bosnia and Herzegovina</x:v>
      </x:c>
      <x:c r="H27" s="22" t="n">
        <x:v>1</x:v>
      </x:c>
      <x:c r="I27" s="20" t="str">
        <x:v>SoFi Stadium (Neutral Site)</x:v>
      </x:c>
      <x:c r="J27" s="20" t="str"/>
    </x:row>
    <x:row r="28">
      <x:c r="A28" s="20" t="str">
        <x:v>M027</x:v>
      </x:c>
      <x:c r="B28" s="20" t="str">
        <x:v>Group stage</x:v>
      </x:c>
      <x:c r="C28" s="20" t="str">
        <x:v>2</x:v>
      </x:c>
      <x:c r="D28" s="21" t="n">
        <x:v>46191</x:v>
      </x:c>
      <x:c r="E28" s="20" t="str">
        <x:v>Canada</x:v>
      </x:c>
      <x:c r="F28" s="22" t="n">
        <x:v>6</x:v>
      </x:c>
      <x:c r="G28" s="22" t="str">
        <x:v>Qatar</x:v>
      </x:c>
      <x:c r="H28" s="22" t="n">
        <x:v>0</x:v>
      </x:c>
      <x:c r="I28" s="20" t="str">
        <x:v>BC Place Stadium (Neutral Site)</x:v>
      </x:c>
      <x:c r="J28" s="20" t="str"/>
    </x:row>
    <x:row r="29">
      <x:c r="A29" s="20" t="str">
        <x:v>M028</x:v>
      </x:c>
      <x:c r="B29" s="20" t="str">
        <x:v>Group stage</x:v>
      </x:c>
      <x:c r="C29" s="20" t="str">
        <x:v>2</x:v>
      </x:c>
      <x:c r="D29" s="21" t="n">
        <x:v>46191</x:v>
      </x:c>
      <x:c r="E29" s="20" t="str">
        <x:v>Mexico</x:v>
      </x:c>
      <x:c r="F29" s="22" t="n">
        <x:v>1</x:v>
      </x:c>
      <x:c r="G29" s="22" t="str">
        <x:v>Korea Republic</x:v>
      </x:c>
      <x:c r="H29" s="22" t="n">
        <x:v>0</x:v>
      </x:c>
      <x:c r="I29" s="20" t="str">
        <x:v>Estadio Akron (Neutral Site)</x:v>
      </x:c>
      <x:c r="J29" s="20" t="str"/>
    </x:row>
    <x:row r="30">
      <x:c r="A30" s="20" t="str">
        <x:v>M029</x:v>
      </x:c>
      <x:c r="B30" s="20" t="str">
        <x:v>Group stage</x:v>
      </x:c>
      <x:c r="C30" s="20" t="str">
        <x:v>2</x:v>
      </x:c>
      <x:c r="D30" s="21" t="n">
        <x:v>46192</x:v>
      </x:c>
      <x:c r="E30" s="20" t="str">
        <x:v>USA</x:v>
      </x:c>
      <x:c r="F30" s="22" t="n">
        <x:v>2</x:v>
      </x:c>
      <x:c r="G30" s="22" t="str">
        <x:v>Australia</x:v>
      </x:c>
      <x:c r="H30" s="22" t="n">
        <x:v>0</x:v>
      </x:c>
      <x:c r="I30" s="20" t="str">
        <x:v>Lumen Field (Neutral Site)</x:v>
      </x:c>
      <x:c r="J30" s="20" t="str"/>
    </x:row>
    <x:row r="31">
      <x:c r="A31" s="20" t="str">
        <x:v>M030</x:v>
      </x:c>
      <x:c r="B31" s="20" t="str">
        <x:v>Group stage</x:v>
      </x:c>
      <x:c r="C31" s="20" t="str">
        <x:v>2</x:v>
      </x:c>
      <x:c r="D31" s="21" t="n">
        <x:v>46192</x:v>
      </x:c>
      <x:c r="E31" s="20" t="str">
        <x:v>Scotland</x:v>
      </x:c>
      <x:c r="F31" s="22" t="n">
        <x:v>0</x:v>
      </x:c>
      <x:c r="G31" s="22" t="str">
        <x:v>Morocco</x:v>
      </x:c>
      <x:c r="H31" s="22" t="n">
        <x:v>1</x:v>
      </x:c>
      <x:c r="I31" s="20" t="str">
        <x:v>Gillette Stadium (Neutral Site)</x:v>
      </x:c>
      <x:c r="J31" s="20" t="str"/>
    </x:row>
    <x:row r="32">
      <x:c r="A32" s="20" t="str">
        <x:v>M031</x:v>
      </x:c>
      <x:c r="B32" s="20" t="str">
        <x:v>Group stage</x:v>
      </x:c>
      <x:c r="C32" s="20" t="str">
        <x:v>2</x:v>
      </x:c>
      <x:c r="D32" s="21" t="n">
        <x:v>46192</x:v>
      </x:c>
      <x:c r="E32" s="20" t="str">
        <x:v>Türkiye</x:v>
      </x:c>
      <x:c r="F32" s="22" t="n">
        <x:v>0</x:v>
      </x:c>
      <x:c r="G32" s="22" t="str">
        <x:v>Paraguay</x:v>
      </x:c>
      <x:c r="H32" s="22" t="n">
        <x:v>1</x:v>
      </x:c>
      <x:c r="I32" s="20" t="str">
        <x:v>Levi's Stadium (Neutral Site)</x:v>
      </x:c>
      <x:c r="J32" s="20" t="str"/>
    </x:row>
    <x:row r="33">
      <x:c r="A33" s="20" t="str">
        <x:v>M032</x:v>
      </x:c>
      <x:c r="B33" s="20" t="str">
        <x:v>Group stage</x:v>
      </x:c>
      <x:c r="C33" s="20" t="str">
        <x:v>2</x:v>
      </x:c>
      <x:c r="D33" s="21" t="n">
        <x:v>46192</x:v>
      </x:c>
      <x:c r="E33" s="20" t="str">
        <x:v>Brazil</x:v>
      </x:c>
      <x:c r="F33" s="22" t="n">
        <x:v>3</x:v>
      </x:c>
      <x:c r="G33" s="22" t="str">
        <x:v>Haiti</x:v>
      </x:c>
      <x:c r="H33" s="22" t="n">
        <x:v>0</x:v>
      </x:c>
      <x:c r="I33" s="20" t="str">
        <x:v>Lincoln Financial Field (Neutral Site)</x:v>
      </x:c>
      <x:c r="J33" s="20" t="str"/>
    </x:row>
    <x:row r="34">
      <x:c r="A34" s="20" t="str">
        <x:v>M033</x:v>
      </x:c>
      <x:c r="B34" s="20" t="str">
        <x:v>Group stage</x:v>
      </x:c>
      <x:c r="C34" s="20" t="str">
        <x:v>2</x:v>
      </x:c>
      <x:c r="D34" s="21" t="n">
        <x:v>46193</x:v>
      </x:c>
      <x:c r="E34" s="20" t="str">
        <x:v>Netherlands</x:v>
      </x:c>
      <x:c r="F34" s="22" t="n">
        <x:v>5</x:v>
      </x:c>
      <x:c r="G34" s="22" t="str">
        <x:v>Sweden</x:v>
      </x:c>
      <x:c r="H34" s="22" t="n">
        <x:v>1</x:v>
      </x:c>
      <x:c r="I34" s="20" t="str">
        <x:v>Reliant Stadium (Neutral Site)</x:v>
      </x:c>
      <x:c r="J34" s="20" t="str"/>
    </x:row>
    <x:row r="35">
      <x:c r="A35" s="20" t="str">
        <x:v>M034</x:v>
      </x:c>
      <x:c r="B35" s="20" t="str">
        <x:v>Group stage</x:v>
      </x:c>
      <x:c r="C35" s="20" t="str">
        <x:v>2</x:v>
      </x:c>
      <x:c r="D35" s="21" t="n">
        <x:v>46193</x:v>
      </x:c>
      <x:c r="E35" s="20" t="str">
        <x:v>Germany</x:v>
      </x:c>
      <x:c r="F35" s="22" t="n">
        <x:v>2</x:v>
      </x:c>
      <x:c r="G35" s="22" t="str">
        <x:v>Côte d'Ivoire</x:v>
      </x:c>
      <x:c r="H35" s="22" t="n">
        <x:v>1</x:v>
      </x:c>
      <x:c r="I35" s="20" t="str">
        <x:v>BMO Field (Neutral Site)</x:v>
      </x:c>
      <x:c r="J35" s="20" t="str"/>
    </x:row>
    <x:row r="36">
      <x:c r="A36" s="20" t="str">
        <x:v>M035</x:v>
      </x:c>
      <x:c r="B36" s="20" t="str">
        <x:v>Group stage</x:v>
      </x:c>
      <x:c r="C36" s="20" t="str">
        <x:v>2</x:v>
      </x:c>
      <x:c r="D36" s="21" t="n">
        <x:v>46193</x:v>
      </x:c>
      <x:c r="E36" s="20" t="str">
        <x:v>Ecuador</x:v>
      </x:c>
      <x:c r="F36" s="22" t="n">
        <x:v>0</x:v>
      </x:c>
      <x:c r="G36" s="22" t="str">
        <x:v>Curaçao</x:v>
      </x:c>
      <x:c r="H36" s="22" t="n">
        <x:v>0</x:v>
      </x:c>
      <x:c r="I36" s="20" t="str">
        <x:v>GEHA Field at Arrowhead Stadium (Neutral Site)</x:v>
      </x:c>
      <x:c r="J36" s="20" t="str"/>
    </x:row>
    <x:row r="37">
      <x:c r="A37" s="20" t="str">
        <x:v>M036</x:v>
      </x:c>
      <x:c r="B37" s="20" t="str">
        <x:v>Group stage</x:v>
      </x:c>
      <x:c r="C37" s="20" t="str">
        <x:v>2</x:v>
      </x:c>
      <x:c r="D37" s="21" t="n">
        <x:v>46193</x:v>
      </x:c>
      <x:c r="E37" s="20" t="str">
        <x:v>Tunisia</x:v>
      </x:c>
      <x:c r="F37" s="22" t="n">
        <x:v>0</x:v>
      </x:c>
      <x:c r="G37" s="22" t="str">
        <x:v>Japan</x:v>
      </x:c>
      <x:c r="H37" s="22" t="n">
        <x:v>4</x:v>
      </x:c>
      <x:c r="I37" s="20" t="str">
        <x:v>Estadio BBVA (Neutral Site)</x:v>
      </x:c>
      <x:c r="J37" s="20" t="str"/>
    </x:row>
    <x:row r="38">
      <x:c r="A38" s="20" t="str">
        <x:v>M037</x:v>
      </x:c>
      <x:c r="B38" s="20" t="str">
        <x:v>Group stage</x:v>
      </x:c>
      <x:c r="C38" s="20" t="str">
        <x:v>2</x:v>
      </x:c>
      <x:c r="D38" s="21" t="n">
        <x:v>46194</x:v>
      </x:c>
      <x:c r="E38" s="20" t="str">
        <x:v>Spain</x:v>
      </x:c>
      <x:c r="F38" s="22" t="n">
        <x:v>4</x:v>
      </x:c>
      <x:c r="G38" s="22" t="str">
        <x:v>Saudi Arabia</x:v>
      </x:c>
      <x:c r="H38" s="22" t="n">
        <x:v>0</x:v>
      </x:c>
      <x:c r="I38" s="20" t="str">
        <x:v>Mercedes-Benz Stadium (Neutral Site)</x:v>
      </x:c>
      <x:c r="J38" s="20" t="str"/>
    </x:row>
    <x:row r="39">
      <x:c r="A39" s="20" t="str">
        <x:v>M038</x:v>
      </x:c>
      <x:c r="B39" s="20" t="str">
        <x:v>Group stage</x:v>
      </x:c>
      <x:c r="C39" s="20" t="str">
        <x:v>2</x:v>
      </x:c>
      <x:c r="D39" s="21" t="n">
        <x:v>46194</x:v>
      </x:c>
      <x:c r="E39" s="20" t="str">
        <x:v>Belgium</x:v>
      </x:c>
      <x:c r="F39" s="22" t="n">
        <x:v>0</x:v>
      </x:c>
      <x:c r="G39" s="22" t="str">
        <x:v>IR Iran</x:v>
      </x:c>
      <x:c r="H39" s="22" t="n">
        <x:v>0</x:v>
      </x:c>
      <x:c r="I39" s="20" t="str">
        <x:v>SoFi Stadium (Neutral Site)</x:v>
      </x:c>
      <x:c r="J39" s="20" t="str"/>
    </x:row>
    <x:row r="40">
      <x:c r="A40" s="20" t="str">
        <x:v>M039</x:v>
      </x:c>
      <x:c r="B40" s="20" t="str">
        <x:v>Group stage</x:v>
      </x:c>
      <x:c r="C40" s="20" t="str">
        <x:v>2</x:v>
      </x:c>
      <x:c r="D40" s="21" t="n">
        <x:v>46194</x:v>
      </x:c>
      <x:c r="E40" s="20" t="str">
        <x:v>Uruguay</x:v>
      </x:c>
      <x:c r="F40" s="22" t="n">
        <x:v>2</x:v>
      </x:c>
      <x:c r="G40" s="22" t="str">
        <x:v>Cabo Verde</x:v>
      </x:c>
      <x:c r="H40" s="22" t="n">
        <x:v>2</x:v>
      </x:c>
      <x:c r="I40" s="20" t="str">
        <x:v>Hard Rock Stadium (Neutral Site)</x:v>
      </x:c>
      <x:c r="J40" s="20" t="str"/>
    </x:row>
    <x:row r="41">
      <x:c r="A41" s="20" t="str">
        <x:v>M040</x:v>
      </x:c>
      <x:c r="B41" s="20" t="str">
        <x:v>Group stage</x:v>
      </x:c>
      <x:c r="C41" s="20" t="str">
        <x:v>2</x:v>
      </x:c>
      <x:c r="D41" s="21" t="n">
        <x:v>46194</x:v>
      </x:c>
      <x:c r="E41" s="20" t="str">
        <x:v>New Zealand</x:v>
      </x:c>
      <x:c r="F41" s="22" t="n">
        <x:v>1</x:v>
      </x:c>
      <x:c r="G41" s="22" t="str">
        <x:v>Egypt</x:v>
      </x:c>
      <x:c r="H41" s="22" t="n">
        <x:v>3</x:v>
      </x:c>
      <x:c r="I41" s="20" t="str">
        <x:v>BC Place Stadium (Neutral Site)</x:v>
      </x:c>
      <x:c r="J41" s="20" t="str"/>
    </x:row>
    <x:row r="42">
      <x:c r="A42" s="20" t="str">
        <x:v>M041</x:v>
      </x:c>
      <x:c r="B42" s="20" t="str">
        <x:v>Group stage</x:v>
      </x:c>
      <x:c r="C42" s="20" t="str">
        <x:v>2</x:v>
      </x:c>
      <x:c r="D42" s="21" t="n">
        <x:v>46195</x:v>
      </x:c>
      <x:c r="E42" s="20" t="str">
        <x:v>Argentina</x:v>
      </x:c>
      <x:c r="F42" s="22" t="n">
        <x:v>2</x:v>
      </x:c>
      <x:c r="G42" s="22" t="str">
        <x:v>Austria</x:v>
      </x:c>
      <x:c r="H42" s="22" t="n">
        <x:v>0</x:v>
      </x:c>
      <x:c r="I42" s="20" t="str">
        <x:v>AT&amp;T Stadium (Neutral Site)</x:v>
      </x:c>
      <x:c r="J42" s="20" t="str"/>
    </x:row>
    <x:row r="43">
      <x:c r="A43" s="20" t="str">
        <x:v>M042</x:v>
      </x:c>
      <x:c r="B43" s="20" t="str">
        <x:v>Group stage</x:v>
      </x:c>
      <x:c r="C43" s="20" t="str">
        <x:v>2</x:v>
      </x:c>
      <x:c r="D43" s="21" t="n">
        <x:v>46195</x:v>
      </x:c>
      <x:c r="E43" s="20" t="str">
        <x:v>France</x:v>
      </x:c>
      <x:c r="F43" s="22" t="n">
        <x:v>3</x:v>
      </x:c>
      <x:c r="G43" s="22" t="str">
        <x:v>Iraq</x:v>
      </x:c>
      <x:c r="H43" s="22" t="n">
        <x:v>0</x:v>
      </x:c>
      <x:c r="I43" s="20" t="str">
        <x:v>Lincoln Financial Field (Neutral Site)</x:v>
      </x:c>
      <x:c r="J43" s="20" t="str"/>
    </x:row>
    <x:row r="44">
      <x:c r="A44" s="20" t="str">
        <x:v>M043</x:v>
      </x:c>
      <x:c r="B44" s="20" t="str">
        <x:v>Group stage</x:v>
      </x:c>
      <x:c r="C44" s="20" t="str">
        <x:v>2</x:v>
      </x:c>
      <x:c r="D44" s="21" t="n">
        <x:v>46195</x:v>
      </x:c>
      <x:c r="E44" s="20" t="str">
        <x:v>Norway</x:v>
      </x:c>
      <x:c r="F44" s="22" t="n">
        <x:v>3</x:v>
      </x:c>
      <x:c r="G44" s="22" t="str">
        <x:v>Senegal</x:v>
      </x:c>
      <x:c r="H44" s="22" t="n">
        <x:v>2</x:v>
      </x:c>
      <x:c r="I44" s="20" t="str">
        <x:v>MetLife Stadium (Neutral Site)</x:v>
      </x:c>
      <x:c r="J44" s="20" t="str"/>
    </x:row>
    <x:row r="45">
      <x:c r="A45" s="20" t="str">
        <x:v>M044</x:v>
      </x:c>
      <x:c r="B45" s="20" t="str">
        <x:v>Group stage</x:v>
      </x:c>
      <x:c r="C45" s="20" t="str">
        <x:v>2</x:v>
      </x:c>
      <x:c r="D45" s="21" t="n">
        <x:v>46195</x:v>
      </x:c>
      <x:c r="E45" s="20" t="str">
        <x:v>Jordan</x:v>
      </x:c>
      <x:c r="F45" s="22" t="n">
        <x:v>1</x:v>
      </x:c>
      <x:c r="G45" s="22" t="str">
        <x:v>Algeria</x:v>
      </x:c>
      <x:c r="H45" s="22" t="n">
        <x:v>2</x:v>
      </x:c>
      <x:c r="I45" s="20" t="str">
        <x:v>Levi's Stadium (Neutral Site)</x:v>
      </x:c>
      <x:c r="J45" s="20" t="str"/>
    </x:row>
    <x:row r="46">
      <x:c r="A46" s="20" t="str">
        <x:v>M045</x:v>
      </x:c>
      <x:c r="B46" s="20" t="str">
        <x:v>Group stage</x:v>
      </x:c>
      <x:c r="C46" s="20" t="str">
        <x:v>2</x:v>
      </x:c>
      <x:c r="D46" s="21" t="n">
        <x:v>46196</x:v>
      </x:c>
      <x:c r="E46" s="20" t="str">
        <x:v>Portugal</x:v>
      </x:c>
      <x:c r="F46" s="22" t="n">
        <x:v>5</x:v>
      </x:c>
      <x:c r="G46" s="22" t="str">
        <x:v>Uzbekistan</x:v>
      </x:c>
      <x:c r="H46" s="22" t="n">
        <x:v>0</x:v>
      </x:c>
      <x:c r="I46" s="20" t="str">
        <x:v>Reliant Stadium (Neutral Site)</x:v>
      </x:c>
      <x:c r="J46" s="20" t="str"/>
    </x:row>
    <x:row r="47">
      <x:c r="A47" s="20" t="str">
        <x:v>M046</x:v>
      </x:c>
      <x:c r="B47" s="20" t="str">
        <x:v>Group stage</x:v>
      </x:c>
      <x:c r="C47" s="20" t="str">
        <x:v>2</x:v>
      </x:c>
      <x:c r="D47" s="21" t="n">
        <x:v>46196</x:v>
      </x:c>
      <x:c r="E47" s="20" t="str">
        <x:v>England</x:v>
      </x:c>
      <x:c r="F47" s="22" t="n">
        <x:v>0</x:v>
      </x:c>
      <x:c r="G47" s="22" t="str">
        <x:v>Ghana</x:v>
      </x:c>
      <x:c r="H47" s="22" t="n">
        <x:v>0</x:v>
      </x:c>
      <x:c r="I47" s="20" t="str">
        <x:v>Gillette Stadium (Neutral Site)</x:v>
      </x:c>
      <x:c r="J47" s="20" t="str"/>
    </x:row>
    <x:row r="48">
      <x:c r="A48" s="20" t="str">
        <x:v>M047</x:v>
      </x:c>
      <x:c r="B48" s="20" t="str">
        <x:v>Group stage</x:v>
      </x:c>
      <x:c r="C48" s="20" t="str">
        <x:v>2</x:v>
      </x:c>
      <x:c r="D48" s="21" t="n">
        <x:v>46196</x:v>
      </x:c>
      <x:c r="E48" s="20" t="str">
        <x:v>Panama</x:v>
      </x:c>
      <x:c r="F48" s="22" t="n">
        <x:v>0</x:v>
      </x:c>
      <x:c r="G48" s="22" t="str">
        <x:v>Croatia</x:v>
      </x:c>
      <x:c r="H48" s="22" t="n">
        <x:v>1</x:v>
      </x:c>
      <x:c r="I48" s="20" t="str">
        <x:v>BMO Field (Neutral Site)</x:v>
      </x:c>
      <x:c r="J48" s="20" t="str"/>
    </x:row>
    <x:row r="49">
      <x:c r="A49" s="20" t="str">
        <x:v>M048</x:v>
      </x:c>
      <x:c r="B49" s="20" t="str">
        <x:v>Group stage</x:v>
      </x:c>
      <x:c r="C49" s="20" t="str">
        <x:v>2</x:v>
      </x:c>
      <x:c r="D49" s="21" t="n">
        <x:v>46196</x:v>
      </x:c>
      <x:c r="E49" s="20" t="str">
        <x:v>Colombia</x:v>
      </x:c>
      <x:c r="F49" s="22" t="n">
        <x:v>1</x:v>
      </x:c>
      <x:c r="G49" s="22" t="str">
        <x:v>Congo DR</x:v>
      </x:c>
      <x:c r="H49" s="22" t="n">
        <x:v>0</x:v>
      </x:c>
      <x:c r="I49" s="20" t="str">
        <x:v>Estadio Akron (Neutral Site)</x:v>
      </x:c>
      <x:c r="J49" s="20" t="str"/>
    </x:row>
    <x:row r="50">
      <x:c r="A50" s="20" t="str">
        <x:v>M049</x:v>
      </x:c>
      <x:c r="B50" s="20" t="str">
        <x:v>Group stage</x:v>
      </x:c>
      <x:c r="C50" s="20" t="str">
        <x:v>3</x:v>
      </x:c>
      <x:c r="D50" s="21" t="n">
        <x:v>46197</x:v>
      </x:c>
      <x:c r="E50" s="20" t="str">
        <x:v>Switzerland</x:v>
      </x:c>
      <x:c r="F50" s="22" t="n">
        <x:v>2</x:v>
      </x:c>
      <x:c r="G50" s="22" t="str">
        <x:v>Canada</x:v>
      </x:c>
      <x:c r="H50" s="22" t="n">
        <x:v>1</x:v>
      </x:c>
      <x:c r="I50" s="20" t="str">
        <x:v>BC Place Stadium (Neutral Site)</x:v>
      </x:c>
      <x:c r="J50" s="20" t="str"/>
    </x:row>
    <x:row r="51">
      <x:c r="A51" s="20" t="str">
        <x:v>M050</x:v>
      </x:c>
      <x:c r="B51" s="20" t="str">
        <x:v>Group stage</x:v>
      </x:c>
      <x:c r="C51" s="20" t="str">
        <x:v>3</x:v>
      </x:c>
      <x:c r="D51" s="21" t="n">
        <x:v>46197</x:v>
      </x:c>
      <x:c r="E51" s="20" t="str">
        <x:v>Bosnia and Herzegovina</x:v>
      </x:c>
      <x:c r="F51" s="22" t="n">
        <x:v>3</x:v>
      </x:c>
      <x:c r="G51" s="22" t="str">
        <x:v>Qatar</x:v>
      </x:c>
      <x:c r="H51" s="22" t="n">
        <x:v>1</x:v>
      </x:c>
      <x:c r="I51" s="20" t="str">
        <x:v>Lumen Field (Neutral Site)</x:v>
      </x:c>
      <x:c r="J51" s="20" t="str"/>
    </x:row>
    <x:row r="52">
      <x:c r="A52" s="20" t="str">
        <x:v>M051</x:v>
      </x:c>
      <x:c r="B52" s="20" t="str">
        <x:v>Group stage</x:v>
      </x:c>
      <x:c r="C52" s="20" t="str">
        <x:v>3</x:v>
      </x:c>
      <x:c r="D52" s="21" t="n">
        <x:v>46197</x:v>
      </x:c>
      <x:c r="E52" s="20" t="str">
        <x:v>Scotland</x:v>
      </x:c>
      <x:c r="F52" s="22" t="n">
        <x:v>0</x:v>
      </x:c>
      <x:c r="G52" s="22" t="str">
        <x:v>Brazil</x:v>
      </x:c>
      <x:c r="H52" s="22" t="n">
        <x:v>3</x:v>
      </x:c>
      <x:c r="I52" s="20" t="str">
        <x:v>Hard Rock Stadium (Neutral Site)</x:v>
      </x:c>
      <x:c r="J52" s="20" t="str"/>
    </x:row>
    <x:row r="53">
      <x:c r="A53" s="20" t="str">
        <x:v>M052</x:v>
      </x:c>
      <x:c r="B53" s="20" t="str">
        <x:v>Group stage</x:v>
      </x:c>
      <x:c r="C53" s="20" t="str">
        <x:v>3</x:v>
      </x:c>
      <x:c r="D53" s="21" t="n">
        <x:v>46197</x:v>
      </x:c>
      <x:c r="E53" s="20" t="str">
        <x:v>Morocco</x:v>
      </x:c>
      <x:c r="F53" s="22" t="n">
        <x:v>4</x:v>
      </x:c>
      <x:c r="G53" s="22" t="str">
        <x:v>Haiti</x:v>
      </x:c>
      <x:c r="H53" s="22" t="n">
        <x:v>2</x:v>
      </x:c>
      <x:c r="I53" s="20" t="str">
        <x:v>Mercedes-Benz Stadium (Neutral Site)</x:v>
      </x:c>
      <x:c r="J53" s="20" t="str"/>
    </x:row>
    <x:row r="54">
      <x:c r="A54" s="20" t="str">
        <x:v>M053</x:v>
      </x:c>
      <x:c r="B54" s="20" t="str">
        <x:v>Group stage</x:v>
      </x:c>
      <x:c r="C54" s="20" t="str">
        <x:v>3</x:v>
      </x:c>
      <x:c r="D54" s="21" t="n">
        <x:v>46197</x:v>
      </x:c>
      <x:c r="E54" s="20" t="str">
        <x:v>South Africa</x:v>
      </x:c>
      <x:c r="F54" s="22" t="n">
        <x:v>1</x:v>
      </x:c>
      <x:c r="G54" s="22" t="str">
        <x:v>Korea Republic</x:v>
      </x:c>
      <x:c r="H54" s="22" t="n">
        <x:v>0</x:v>
      </x:c>
      <x:c r="I54" s="20" t="str">
        <x:v>Estadio BBVA (Neutral Site)</x:v>
      </x:c>
      <x:c r="J54" s="20" t="str"/>
    </x:row>
    <x:row r="55">
      <x:c r="A55" s="20" t="str">
        <x:v>M054</x:v>
      </x:c>
      <x:c r="B55" s="20" t="str">
        <x:v>Group stage</x:v>
      </x:c>
      <x:c r="C55" s="20" t="str">
        <x:v>3</x:v>
      </x:c>
      <x:c r="D55" s="21" t="n">
        <x:v>46197</x:v>
      </x:c>
      <x:c r="E55" s="20" t="str">
        <x:v>Czechia</x:v>
      </x:c>
      <x:c r="F55" s="22" t="n">
        <x:v>0</x:v>
      </x:c>
      <x:c r="G55" s="22" t="str">
        <x:v>Mexico</x:v>
      </x:c>
      <x:c r="H55" s="22" t="n">
        <x:v>3</x:v>
      </x:c>
      <x:c r="I55" s="20" t="str">
        <x:v>Estadio Banorte (Neutral Site)</x:v>
      </x:c>
      <x:c r="J55" s="20" t="str"/>
    </x:row>
    <x:row r="56">
      <x:c r="A56" s="20" t="str">
        <x:v>M055</x:v>
      </x:c>
      <x:c r="B56" s="20" t="str">
        <x:v>Group stage</x:v>
      </x:c>
      <x:c r="C56" s="20" t="str">
        <x:v>3</x:v>
      </x:c>
      <x:c r="D56" s="21" t="n">
        <x:v>46198</x:v>
      </x:c>
      <x:c r="E56" s="20" t="str">
        <x:v>Curaçao</x:v>
      </x:c>
      <x:c r="F56" s="22" t="n">
        <x:v>0</x:v>
      </x:c>
      <x:c r="G56" s="22" t="str">
        <x:v>Côte d'Ivoire</x:v>
      </x:c>
      <x:c r="H56" s="22" t="n">
        <x:v>2</x:v>
      </x:c>
      <x:c r="I56" s="20" t="str">
        <x:v>Lincoln Financial Field (Neutral Site)</x:v>
      </x:c>
      <x:c r="J56" s="20" t="str"/>
    </x:row>
    <x:row r="57">
      <x:c r="A57" s="20" t="str">
        <x:v>M056</x:v>
      </x:c>
      <x:c r="B57" s="20" t="str">
        <x:v>Group stage</x:v>
      </x:c>
      <x:c r="C57" s="20" t="str">
        <x:v>3</x:v>
      </x:c>
      <x:c r="D57" s="21" t="n">
        <x:v>46198</x:v>
      </x:c>
      <x:c r="E57" s="20" t="str">
        <x:v>Ecuador</x:v>
      </x:c>
      <x:c r="F57" s="22" t="n">
        <x:v>2</x:v>
      </x:c>
      <x:c r="G57" s="22" t="str">
        <x:v>Germany</x:v>
      </x:c>
      <x:c r="H57" s="22" t="n">
        <x:v>1</x:v>
      </x:c>
      <x:c r="I57" s="20" t="str">
        <x:v>MetLife Stadium (Neutral Site)</x:v>
      </x:c>
      <x:c r="J57" s="20" t="str"/>
    </x:row>
    <x:row r="58">
      <x:c r="A58" s="20" t="str">
        <x:v>M057</x:v>
      </x:c>
      <x:c r="B58" s="20" t="str">
        <x:v>Group stage</x:v>
      </x:c>
      <x:c r="C58" s="20" t="str">
        <x:v>3</x:v>
      </x:c>
      <x:c r="D58" s="21" t="n">
        <x:v>46198</x:v>
      </x:c>
      <x:c r="E58" s="20" t="str">
        <x:v>Tunisia</x:v>
      </x:c>
      <x:c r="F58" s="22" t="n">
        <x:v>1</x:v>
      </x:c>
      <x:c r="G58" s="22" t="str">
        <x:v>Netherlands</x:v>
      </x:c>
      <x:c r="H58" s="22" t="n">
        <x:v>3</x:v>
      </x:c>
      <x:c r="I58" s="20" t="str">
        <x:v>GEHA Field at Arrowhead Stadium (Neutral Site)</x:v>
      </x:c>
      <x:c r="J58" s="20" t="str"/>
    </x:row>
    <x:row r="59">
      <x:c r="A59" s="20" t="str">
        <x:v>M058</x:v>
      </x:c>
      <x:c r="B59" s="20" t="str">
        <x:v>Group stage</x:v>
      </x:c>
      <x:c r="C59" s="20" t="str">
        <x:v>3</x:v>
      </x:c>
      <x:c r="D59" s="21" t="n">
        <x:v>46198</x:v>
      </x:c>
      <x:c r="E59" s="20" t="str">
        <x:v>Japan</x:v>
      </x:c>
      <x:c r="F59" s="22" t="n">
        <x:v>1</x:v>
      </x:c>
      <x:c r="G59" s="22" t="str">
        <x:v>Sweden</x:v>
      </x:c>
      <x:c r="H59" s="22" t="n">
        <x:v>1</x:v>
      </x:c>
      <x:c r="I59" s="20" t="str">
        <x:v>AT&amp;T Stadium (Neutral Site)</x:v>
      </x:c>
      <x:c r="J59" s="20" t="str"/>
    </x:row>
    <x:row r="60">
      <x:c r="A60" s="20" t="str">
        <x:v>M059</x:v>
      </x:c>
      <x:c r="B60" s="20" t="str">
        <x:v>Group stage</x:v>
      </x:c>
      <x:c r="C60" s="20" t="str">
        <x:v>3</x:v>
      </x:c>
      <x:c r="D60" s="21" t="n">
        <x:v>46198</x:v>
      </x:c>
      <x:c r="E60" s="20" t="str">
        <x:v>Türkiye</x:v>
      </x:c>
      <x:c r="F60" s="22" t="n">
        <x:v>3</x:v>
      </x:c>
      <x:c r="G60" s="22" t="str">
        <x:v>USA</x:v>
      </x:c>
      <x:c r="H60" s="22" t="n">
        <x:v>2</x:v>
      </x:c>
      <x:c r="I60" s="20" t="str">
        <x:v>SoFi Stadium (Neutral Site)</x:v>
      </x:c>
      <x:c r="J60" s="20" t="str"/>
    </x:row>
    <x:row r="61">
      <x:c r="A61" s="20" t="str">
        <x:v>M060</x:v>
      </x:c>
      <x:c r="B61" s="20" t="str">
        <x:v>Group stage</x:v>
      </x:c>
      <x:c r="C61" s="20" t="str">
        <x:v>3</x:v>
      </x:c>
      <x:c r="D61" s="21" t="n">
        <x:v>46198</x:v>
      </x:c>
      <x:c r="E61" s="20" t="str">
        <x:v>Paraguay</x:v>
      </x:c>
      <x:c r="F61" s="22" t="n">
        <x:v>0</x:v>
      </x:c>
      <x:c r="G61" s="22" t="str">
        <x:v>Australia</x:v>
      </x:c>
      <x:c r="H61" s="22" t="n">
        <x:v>0</x:v>
      </x:c>
      <x:c r="I61" s="20" t="str">
        <x:v>Levi's Stadium (Neutral Site)</x:v>
      </x:c>
      <x:c r="J61" s="20" t="str"/>
    </x:row>
    <x:row r="62">
      <x:c r="A62" s="20" t="str">
        <x:v>M061</x:v>
      </x:c>
      <x:c r="B62" s="20" t="str">
        <x:v>Group stage</x:v>
      </x:c>
      <x:c r="C62" s="20" t="str">
        <x:v>3</x:v>
      </x:c>
      <x:c r="D62" s="21" t="n">
        <x:v>46199</x:v>
      </x:c>
      <x:c r="E62" s="20" t="str">
        <x:v>Norway</x:v>
      </x:c>
      <x:c r="F62" s="22" t="n">
        <x:v>1</x:v>
      </x:c>
      <x:c r="G62" s="22" t="str">
        <x:v>France</x:v>
      </x:c>
      <x:c r="H62" s="22" t="n">
        <x:v>4</x:v>
      </x:c>
      <x:c r="I62" s="20" t="str">
        <x:v>Gillette Stadium (Neutral Site)</x:v>
      </x:c>
      <x:c r="J62" s="20" t="str"/>
    </x:row>
    <x:row r="63">
      <x:c r="A63" s="20" t="str">
        <x:v>M062</x:v>
      </x:c>
      <x:c r="B63" s="20" t="str">
        <x:v>Group stage</x:v>
      </x:c>
      <x:c r="C63" s="20" t="str">
        <x:v>3</x:v>
      </x:c>
      <x:c r="D63" s="21" t="n">
        <x:v>46199</x:v>
      </x:c>
      <x:c r="E63" s="20" t="str">
        <x:v>Senegal</x:v>
      </x:c>
      <x:c r="F63" s="22" t="n">
        <x:v>5</x:v>
      </x:c>
      <x:c r="G63" s="22" t="str">
        <x:v>Iraq</x:v>
      </x:c>
      <x:c r="H63" s="22" t="n">
        <x:v>0</x:v>
      </x:c>
      <x:c r="I63" s="20" t="str">
        <x:v>BMO Field (Neutral Site)</x:v>
      </x:c>
      <x:c r="J63" s="20" t="str"/>
    </x:row>
    <x:row r="64">
      <x:c r="A64" s="20" t="str">
        <x:v>M063</x:v>
      </x:c>
      <x:c r="B64" s="20" t="str">
        <x:v>Group stage</x:v>
      </x:c>
      <x:c r="C64" s="20" t="str">
        <x:v>3</x:v>
      </x:c>
      <x:c r="D64" s="21" t="n">
        <x:v>46199</x:v>
      </x:c>
      <x:c r="E64" s="20" t="str">
        <x:v>Uruguay</x:v>
      </x:c>
      <x:c r="F64" s="22" t="n">
        <x:v>0</x:v>
      </x:c>
      <x:c r="G64" s="22" t="str">
        <x:v>Spain</x:v>
      </x:c>
      <x:c r="H64" s="22" t="n">
        <x:v>1</x:v>
      </x:c>
      <x:c r="I64" s="20" t="str">
        <x:v>Estadio Akron (Neutral Site)</x:v>
      </x:c>
      <x:c r="J64" s="20" t="str"/>
    </x:row>
    <x:row r="65">
      <x:c r="A65" s="20" t="str">
        <x:v>M064</x:v>
      </x:c>
      <x:c r="B65" s="20" t="str">
        <x:v>Group stage</x:v>
      </x:c>
      <x:c r="C65" s="20" t="str">
        <x:v>3</x:v>
      </x:c>
      <x:c r="D65" s="21" t="n">
        <x:v>46199</x:v>
      </x:c>
      <x:c r="E65" s="20" t="str">
        <x:v>Cabo Verde</x:v>
      </x:c>
      <x:c r="F65" s="22" t="n">
        <x:v>0</x:v>
      </x:c>
      <x:c r="G65" s="22" t="str">
        <x:v>Saudi Arabia</x:v>
      </x:c>
      <x:c r="H65" s="22" t="n">
        <x:v>0</x:v>
      </x:c>
      <x:c r="I65" s="20" t="str">
        <x:v>Reliant Stadium (Neutral Site)</x:v>
      </x:c>
      <x:c r="J65" s="20" t="str"/>
    </x:row>
    <x:row r="66">
      <x:c r="A66" s="20" t="str">
        <x:v>M065</x:v>
      </x:c>
      <x:c r="B66" s="20" t="str">
        <x:v>Group stage</x:v>
      </x:c>
      <x:c r="C66" s="20" t="str">
        <x:v>3</x:v>
      </x:c>
      <x:c r="D66" s="21" t="n">
        <x:v>46199</x:v>
      </x:c>
      <x:c r="E66" s="20" t="str">
        <x:v>Egypt</x:v>
      </x:c>
      <x:c r="F66" s="22" t="n">
        <x:v>1</x:v>
      </x:c>
      <x:c r="G66" s="22" t="str">
        <x:v>IR Iran</x:v>
      </x:c>
      <x:c r="H66" s="22" t="n">
        <x:v>1</x:v>
      </x:c>
      <x:c r="I66" s="20" t="str">
        <x:v>Lumen Field (Neutral Site)</x:v>
      </x:c>
      <x:c r="J66" s="20" t="str"/>
    </x:row>
    <x:row r="67">
      <x:c r="A67" s="20" t="str">
        <x:v>M066</x:v>
      </x:c>
      <x:c r="B67" s="20" t="str">
        <x:v>Group stage</x:v>
      </x:c>
      <x:c r="C67" s="20" t="str">
        <x:v>3</x:v>
      </x:c>
      <x:c r="D67" s="21" t="n">
        <x:v>46199</x:v>
      </x:c>
      <x:c r="E67" s="20" t="str">
        <x:v>New Zealand</x:v>
      </x:c>
      <x:c r="F67" s="22" t="n">
        <x:v>1</x:v>
      </x:c>
      <x:c r="G67" s="22" t="str">
        <x:v>Belgium</x:v>
      </x:c>
      <x:c r="H67" s="22" t="n">
        <x:v>5</x:v>
      </x:c>
      <x:c r="I67" s="20" t="str">
        <x:v>BC Place Stadium (Neutral Site)</x:v>
      </x:c>
      <x:c r="J67" s="20" t="str"/>
    </x:row>
    <x:row r="68">
      <x:c r="A68" s="20" t="str">
        <x:v>M067</x:v>
      </x:c>
      <x:c r="B68" s="20" t="str">
        <x:v>Group stage</x:v>
      </x:c>
      <x:c r="C68" s="20" t="str">
        <x:v>3</x:v>
      </x:c>
      <x:c r="D68" s="21" t="n">
        <x:v>46200</x:v>
      </x:c>
      <x:c r="E68" s="20" t="str">
        <x:v>Croatia</x:v>
      </x:c>
      <x:c r="F68" s="22" t="n">
        <x:v>2</x:v>
      </x:c>
      <x:c r="G68" s="22" t="str">
        <x:v>Ghana</x:v>
      </x:c>
      <x:c r="H68" s="22" t="n">
        <x:v>1</x:v>
      </x:c>
      <x:c r="I68" s="20" t="str">
        <x:v>Lincoln Financial Field (Neutral Site)</x:v>
      </x:c>
      <x:c r="J68" s="20" t="str"/>
    </x:row>
    <x:row r="69">
      <x:c r="A69" s="20" t="str">
        <x:v>M068</x:v>
      </x:c>
      <x:c r="B69" s="20" t="str">
        <x:v>Group stage</x:v>
      </x:c>
      <x:c r="C69" s="20" t="str">
        <x:v>3</x:v>
      </x:c>
      <x:c r="D69" s="21" t="n">
        <x:v>46200</x:v>
      </x:c>
      <x:c r="E69" s="20" t="str">
        <x:v>Panama</x:v>
      </x:c>
      <x:c r="F69" s="22" t="n">
        <x:v>0</x:v>
      </x:c>
      <x:c r="G69" s="22" t="str">
        <x:v>England</x:v>
      </x:c>
      <x:c r="H69" s="22" t="n">
        <x:v>2</x:v>
      </x:c>
      <x:c r="I69" s="20" t="str">
        <x:v>MetLife Stadium (Neutral Site)</x:v>
      </x:c>
      <x:c r="J69" s="20" t="str"/>
    </x:row>
    <x:row r="70">
      <x:c r="A70" s="20" t="str">
        <x:v>M069</x:v>
      </x:c>
      <x:c r="B70" s="20" t="str">
        <x:v>Group stage</x:v>
      </x:c>
      <x:c r="C70" s="20" t="str">
        <x:v>3</x:v>
      </x:c>
      <x:c r="D70" s="21" t="n">
        <x:v>46200</x:v>
      </x:c>
      <x:c r="E70" s="20" t="str">
        <x:v>Congo DR</x:v>
      </x:c>
      <x:c r="F70" s="22" t="n">
        <x:v>3</x:v>
      </x:c>
      <x:c r="G70" s="22" t="str">
        <x:v>Uzbekistan</x:v>
      </x:c>
      <x:c r="H70" s="22" t="n">
        <x:v>1</x:v>
      </x:c>
      <x:c r="I70" s="20" t="str">
        <x:v>Mercedes-Benz Stadium (Neutral Site)</x:v>
      </x:c>
      <x:c r="J70" s="20" t="str"/>
    </x:row>
    <x:row r="71">
      <x:c r="A71" s="20" t="str">
        <x:v>M070</x:v>
      </x:c>
      <x:c r="B71" s="20" t="str">
        <x:v>Group stage</x:v>
      </x:c>
      <x:c r="C71" s="20" t="str">
        <x:v>3</x:v>
      </x:c>
      <x:c r="D71" s="21" t="n">
        <x:v>46200</x:v>
      </x:c>
      <x:c r="E71" s="20" t="str">
        <x:v>Colombia</x:v>
      </x:c>
      <x:c r="F71" s="22" t="n">
        <x:v>0</x:v>
      </x:c>
      <x:c r="G71" s="22" t="str">
        <x:v>Portugal</x:v>
      </x:c>
      <x:c r="H71" s="22" t="n">
        <x:v>0</x:v>
      </x:c>
      <x:c r="I71" s="20" t="str">
        <x:v>Hard Rock Stadium (Neutral Site)</x:v>
      </x:c>
      <x:c r="J71" s="20" t="str"/>
    </x:row>
    <x:row r="72">
      <x:c r="A72" s="20" t="str">
        <x:v>M071</x:v>
      </x:c>
      <x:c r="B72" s="20" t="str">
        <x:v>Group stage</x:v>
      </x:c>
      <x:c r="C72" s="20" t="str">
        <x:v>3</x:v>
      </x:c>
      <x:c r="D72" s="21" t="n">
        <x:v>46200</x:v>
      </x:c>
      <x:c r="E72" s="20" t="str">
        <x:v>Jordan</x:v>
      </x:c>
      <x:c r="F72" s="22" t="n">
        <x:v>1</x:v>
      </x:c>
      <x:c r="G72" s="22" t="str">
        <x:v>Argentina</x:v>
      </x:c>
      <x:c r="H72" s="22" t="n">
        <x:v>3</x:v>
      </x:c>
      <x:c r="I72" s="20" t="str">
        <x:v>AT&amp;T Stadium (Neutral Site)</x:v>
      </x:c>
      <x:c r="J72" s="20" t="str"/>
    </x:row>
    <x:row r="73">
      <x:c r="A73" s="20" t="str">
        <x:v>M072</x:v>
      </x:c>
      <x:c r="B73" s="20" t="str">
        <x:v>Group stage</x:v>
      </x:c>
      <x:c r="C73" s="20" t="str">
        <x:v>3</x:v>
      </x:c>
      <x:c r="D73" s="21" t="n">
        <x:v>46200</x:v>
      </x:c>
      <x:c r="E73" s="20" t="str">
        <x:v>Algeria</x:v>
      </x:c>
      <x:c r="F73" s="22" t="n">
        <x:v>3</x:v>
      </x:c>
      <x:c r="G73" s="22" t="str">
        <x:v>Austria</x:v>
      </x:c>
      <x:c r="H73" s="22" t="n">
        <x:v>3</x:v>
      </x:c>
      <x:c r="I73" s="20" t="str">
        <x:v>GEHA Field at Arrowhead Stadium (Neutral Site)</x:v>
      </x:c>
      <x:c r="J73" s="20" t="str"/>
    </x:row>
    <x:row r="74">
      <x:c r="A74" s="20" t="str">
        <x:v>M073</x:v>
      </x:c>
      <x:c r="B74" s="20" t="str">
        <x:v>Round of 32</x:v>
      </x:c>
      <x:c r="C74" s="20" t="str"/>
      <x:c r="D74" s="21" t="n">
        <x:v>46201</x:v>
      </x:c>
      <x:c r="E74" s="20" t="str">
        <x:v>South Africa</x:v>
      </x:c>
      <x:c r="F74" s="22" t="n">
        <x:v>0</x:v>
      </x:c>
      <x:c r="G74" s="22" t="str">
        <x:v>Canada</x:v>
      </x:c>
      <x:c r="H74" s="22" t="n">
        <x:v>1</x:v>
      </x:c>
      <x:c r="I74" s="20" t="str">
        <x:v>SoFi Stadium (Neutral Site)</x:v>
      </x:c>
      <x:c r="J74" s="20" t="str"/>
    </x:row>
    <x:row r="75">
      <x:c r="A75" s="20" t="str">
        <x:v>M074</x:v>
      </x:c>
      <x:c r="B75" s="20" t="str">
        <x:v>Round of 32</x:v>
      </x:c>
      <x:c r="C75" s="20" t="str"/>
      <x:c r="D75" s="21" t="n">
        <x:v>46202</x:v>
      </x:c>
      <x:c r="E75" s="20" t="str">
        <x:v>Brazil</x:v>
      </x:c>
      <x:c r="F75" s="22" t="n">
        <x:v>2</x:v>
      </x:c>
      <x:c r="G75" s="22" t="str">
        <x:v>Japan</x:v>
      </x:c>
      <x:c r="H75" s="22" t="n">
        <x:v>1</x:v>
      </x:c>
      <x:c r="I75" s="20" t="str">
        <x:v>Reliant Stadium (Neutral Site)</x:v>
      </x:c>
      <x:c r="J75" s="20" t="str"/>
    </x:row>
    <x:row r="76">
      <x:c r="A76" s="20" t="str">
        <x:v>M075</x:v>
      </x:c>
      <x:c r="B76" s="20" t="str">
        <x:v>Round of 32</x:v>
      </x:c>
      <x:c r="C76" s="20" t="str"/>
      <x:c r="D76" s="21" t="n">
        <x:v>46202</x:v>
      </x:c>
      <x:c r="E76" s="20" t="str">
        <x:v>Germany</x:v>
      </x:c>
      <x:c r="F76" s="22" t="n">
        <x:v>1</x:v>
      </x:c>
      <x:c r="G76" s="22" t="str">
        <x:v>Paraguay</x:v>
      </x:c>
      <x:c r="H76" s="22" t="n">
        <x:v>1</x:v>
      </x:c>
      <x:c r="I76" s="20" t="str">
        <x:v>Gillette Stadium (Neutral Site)</x:v>
      </x:c>
      <x:c r="J76" s="20" t="str">
        <x:v>Paraguay won a penalty shoot-out following extra time</x:v>
      </x:c>
    </x:row>
    <x:row r="77">
      <x:c r="A77" s="20" t="str">
        <x:v>M076</x:v>
      </x:c>
      <x:c r="B77" s="20" t="str">
        <x:v>Round of 32</x:v>
      </x:c>
      <x:c r="C77" s="20" t="str"/>
      <x:c r="D77" s="21" t="n">
        <x:v>46202</x:v>
      </x:c>
      <x:c r="E77" s="20" t="str">
        <x:v>Netherlands</x:v>
      </x:c>
      <x:c r="F77" s="22" t="n">
        <x:v>1</x:v>
      </x:c>
      <x:c r="G77" s="22" t="str">
        <x:v>Morocco</x:v>
      </x:c>
      <x:c r="H77" s="22" t="n">
        <x:v>1</x:v>
      </x:c>
      <x:c r="I77" s="20" t="str">
        <x:v>Estadio BBVA (Neutral Site)</x:v>
      </x:c>
      <x:c r="J77" s="20" t="str">
        <x:v>Morocco won a penalty shoot-out following extra time</x:v>
      </x:c>
    </x:row>
    <x:row r="78">
      <x:c r="A78" s="20" t="str">
        <x:v>M077</x:v>
      </x:c>
      <x:c r="B78" s="20" t="str">
        <x:v>Round of 32</x:v>
      </x:c>
      <x:c r="C78" s="20" t="str"/>
      <x:c r="D78" s="21" t="n">
        <x:v>46203</x:v>
      </x:c>
      <x:c r="E78" s="20" t="str">
        <x:v>Côte d'Ivoire</x:v>
      </x:c>
      <x:c r="F78" s="22" t="n">
        <x:v>1</x:v>
      </x:c>
      <x:c r="G78" s="22" t="str">
        <x:v>Norway</x:v>
      </x:c>
      <x:c r="H78" s="22" t="n">
        <x:v>2</x:v>
      </x:c>
      <x:c r="I78" s="20" t="str">
        <x:v>AT&amp;T Stadium (Neutral Site)</x:v>
      </x:c>
      <x:c r="J78" s="20" t="str"/>
    </x:row>
    <x:row r="79">
      <x:c r="A79" s="20" t="str">
        <x:v>M078</x:v>
      </x:c>
      <x:c r="B79" s="20" t="str">
        <x:v>Round of 32</x:v>
      </x:c>
      <x:c r="C79" s="20" t="str"/>
      <x:c r="D79" s="21" t="n">
        <x:v>46203</x:v>
      </x:c>
      <x:c r="E79" s="20" t="str">
        <x:v>France</x:v>
      </x:c>
      <x:c r="F79" s="22" t="n">
        <x:v>3</x:v>
      </x:c>
      <x:c r="G79" s="22" t="str">
        <x:v>Sweden</x:v>
      </x:c>
      <x:c r="H79" s="22" t="n">
        <x:v>0</x:v>
      </x:c>
      <x:c r="I79" s="20" t="str">
        <x:v>MetLife Stadium (Neutral Site)</x:v>
      </x:c>
      <x:c r="J79" s="20" t="str"/>
    </x:row>
    <x:row r="80">
      <x:c r="A80" s="20" t="str">
        <x:v>M079</x:v>
      </x:c>
      <x:c r="B80" s="20" t="str">
        <x:v>Round of 32</x:v>
      </x:c>
      <x:c r="C80" s="20" t="str"/>
      <x:c r="D80" s="21" t="n">
        <x:v>46203</x:v>
      </x:c>
      <x:c r="E80" s="20" t="str">
        <x:v>Mexico</x:v>
      </x:c>
      <x:c r="F80" s="22" t="n">
        <x:v>2</x:v>
      </x:c>
      <x:c r="G80" s="22" t="str">
        <x:v>Ecuador</x:v>
      </x:c>
      <x:c r="H80" s="22" t="n">
        <x:v>0</x:v>
      </x:c>
      <x:c r="I80" s="20" t="str">
        <x:v>Estadio Banorte (Neutral Site)</x:v>
      </x:c>
      <x:c r="J80" s="20" t="str"/>
    </x:row>
    <x:row r="81">
      <x:c r="A81" s="20" t="str">
        <x:v>M080</x:v>
      </x:c>
      <x:c r="B81" s="20" t="str">
        <x:v>Round of 32</x:v>
      </x:c>
      <x:c r="C81" s="20" t="str"/>
      <x:c r="D81" s="21" t="n">
        <x:v>46204</x:v>
      </x:c>
      <x:c r="E81" s="20" t="str">
        <x:v>England</x:v>
      </x:c>
      <x:c r="F81" s="22" t="n">
        <x:v>2</x:v>
      </x:c>
      <x:c r="G81" s="22" t="str">
        <x:v>Congo DR</x:v>
      </x:c>
      <x:c r="H81" s="22" t="n">
        <x:v>1</x:v>
      </x:c>
      <x:c r="I81" s="20" t="str">
        <x:v>Mercedes-Benz Stadium (Neutral Site)</x:v>
      </x:c>
      <x:c r="J81" s="20" t="str"/>
    </x:row>
    <x:row r="82">
      <x:c r="A82" s="20" t="str">
        <x:v>M081</x:v>
      </x:c>
      <x:c r="B82" s="20" t="str">
        <x:v>Round of 32</x:v>
      </x:c>
      <x:c r="C82" s="20" t="str"/>
      <x:c r="D82" s="21" t="n">
        <x:v>46204</x:v>
      </x:c>
      <x:c r="E82" s="20" t="str">
        <x:v>Belgium</x:v>
      </x:c>
      <x:c r="F82" s="22" t="n">
        <x:v>3</x:v>
      </x:c>
      <x:c r="G82" s="22" t="str">
        <x:v>Senegal</x:v>
      </x:c>
      <x:c r="H82" s="22" t="n">
        <x:v>2</x:v>
      </x:c>
      <x:c r="I82" s="20" t="str">
        <x:v>Lumen Field (Neutral Site)</x:v>
      </x:c>
      <x:c r="J82" s="20" t="str">
        <x:v>Required Extra Time</x:v>
      </x:c>
    </x:row>
    <x:row r="83">
      <x:c r="A83" s="20" t="str">
        <x:v>M082</x:v>
      </x:c>
      <x:c r="B83" s="20" t="str">
        <x:v>Round of 32</x:v>
      </x:c>
      <x:c r="C83" s="20" t="str"/>
      <x:c r="D83" s="21" t="n">
        <x:v>46204</x:v>
      </x:c>
      <x:c r="E83" s="20" t="str">
        <x:v>USA</x:v>
      </x:c>
      <x:c r="F83" s="22" t="n">
        <x:v>2</x:v>
      </x:c>
      <x:c r="G83" s="22" t="str">
        <x:v>Bosnia and Herzegovina</x:v>
      </x:c>
      <x:c r="H83" s="22" t="n">
        <x:v>0</x:v>
      </x:c>
      <x:c r="I83" s="20" t="str">
        <x:v>Levi's Stadium (Neutral Site)</x:v>
      </x:c>
      <x:c r="J83" s="20" t="str"/>
    </x:row>
    <x:row r="84">
      <x:c r="A84" s="20" t="str">
        <x:v>M083</x:v>
      </x:c>
      <x:c r="B84" s="20" t="str">
        <x:v>Round of 32</x:v>
      </x:c>
      <x:c r="C84" s="20" t="str"/>
      <x:c r="D84" s="21" t="n">
        <x:v>46205</x:v>
      </x:c>
      <x:c r="E84" s="20" t="str">
        <x:v>Spain</x:v>
      </x:c>
      <x:c r="F84" s="22" t="n">
        <x:v>3</x:v>
      </x:c>
      <x:c r="G84" s="22" t="str">
        <x:v>Austria</x:v>
      </x:c>
      <x:c r="H84" s="22" t="n">
        <x:v>0</x:v>
      </x:c>
      <x:c r="I84" s="20" t="str">
        <x:v>SoFi Stadium (Neutral Site)</x:v>
      </x:c>
      <x:c r="J84" s="20" t="str"/>
    </x:row>
    <x:row r="85">
      <x:c r="A85" s="20" t="str">
        <x:v>M084</x:v>
      </x:c>
      <x:c r="B85" s="20" t="str">
        <x:v>Round of 32</x:v>
      </x:c>
      <x:c r="C85" s="20" t="str"/>
      <x:c r="D85" s="21" t="n">
        <x:v>46205</x:v>
      </x:c>
      <x:c r="E85" s="20" t="str">
        <x:v>Portugal</x:v>
      </x:c>
      <x:c r="F85" s="22" t="n">
        <x:v>2</x:v>
      </x:c>
      <x:c r="G85" s="22" t="str">
        <x:v>Croatia</x:v>
      </x:c>
      <x:c r="H85" s="22" t="n">
        <x:v>1</x:v>
      </x:c>
      <x:c r="I85" s="20" t="str">
        <x:v>BMO Field (Neutral Site)</x:v>
      </x:c>
      <x:c r="J85" s="20" t="str"/>
    </x:row>
    <x:row r="86">
      <x:c r="A86" s="20" t="str">
        <x:v>M085</x:v>
      </x:c>
      <x:c r="B86" s="20" t="str">
        <x:v>Round of 32</x:v>
      </x:c>
      <x:c r="C86" s="20" t="str"/>
      <x:c r="D86" s="21" t="n">
        <x:v>46205</x:v>
      </x:c>
      <x:c r="E86" s="20" t="str">
        <x:v>Switzerland</x:v>
      </x:c>
      <x:c r="F86" s="22" t="n">
        <x:v>2</x:v>
      </x:c>
      <x:c r="G86" s="22" t="str">
        <x:v>Algeria</x:v>
      </x:c>
      <x:c r="H86" s="22" t="n">
        <x:v>0</x:v>
      </x:c>
      <x:c r="I86" s="20" t="str">
        <x:v>BC Place Stadium (Neutral Site)</x:v>
      </x:c>
      <x:c r="J86" s="20" t="str"/>
    </x:row>
    <x:row r="87">
      <x:c r="A87" s="20" t="str">
        <x:v>M086</x:v>
      </x:c>
      <x:c r="B87" s="20" t="str">
        <x:v>Round of 32</x:v>
      </x:c>
      <x:c r="C87" s="20" t="str"/>
      <x:c r="D87" s="21" t="n">
        <x:v>46206</x:v>
      </x:c>
      <x:c r="E87" s="20" t="str">
        <x:v>Australia</x:v>
      </x:c>
      <x:c r="F87" s="22" t="n">
        <x:v>1</x:v>
      </x:c>
      <x:c r="G87" s="22" t="str">
        <x:v>Egypt</x:v>
      </x:c>
      <x:c r="H87" s="22" t="n">
        <x:v>1</x:v>
      </x:c>
      <x:c r="I87" s="20" t="str">
        <x:v>AT&amp;T Stadium (Neutral Site)</x:v>
      </x:c>
      <x:c r="J87" s="20" t="str">
        <x:v>Egypt won a penalty shoot-out following extra time</x:v>
      </x:c>
    </x:row>
    <x:row r="88">
      <x:c r="A88" s="20" t="str">
        <x:v>M087</x:v>
      </x:c>
      <x:c r="B88" s="20" t="str">
        <x:v>Round of 32</x:v>
      </x:c>
      <x:c r="C88" s="20" t="str"/>
      <x:c r="D88" s="21" t="n">
        <x:v>46206</x:v>
      </x:c>
      <x:c r="E88" s="20" t="str">
        <x:v>Argentina</x:v>
      </x:c>
      <x:c r="F88" s="22" t="n">
        <x:v>3</x:v>
      </x:c>
      <x:c r="G88" s="22" t="str">
        <x:v>Cabo Verde</x:v>
      </x:c>
      <x:c r="H88" s="22" t="n">
        <x:v>2</x:v>
      </x:c>
      <x:c r="I88" s="20" t="str">
        <x:v>Hard Rock Stadium (Neutral Site)</x:v>
      </x:c>
      <x:c r="J88" s="20" t="str">
        <x:v>Required Extra Time</x:v>
      </x:c>
    </x:row>
    <x:row r="89">
      <x:c r="A89" s="20" t="str">
        <x:v>M088</x:v>
      </x:c>
      <x:c r="B89" s="20" t="str">
        <x:v>Round of 32</x:v>
      </x:c>
      <x:c r="C89" s="20" t="str"/>
      <x:c r="D89" s="21" t="n">
        <x:v>46206</x:v>
      </x:c>
      <x:c r="E89" s="20" t="str">
        <x:v>Colombia</x:v>
      </x:c>
      <x:c r="F89" s="22" t="n">
        <x:v>1</x:v>
      </x:c>
      <x:c r="G89" s="22" t="str">
        <x:v>Ghana</x:v>
      </x:c>
      <x:c r="H89" s="22" t="n">
        <x:v>0</x:v>
      </x:c>
      <x:c r="I89" s="20" t="str">
        <x:v>GEHA Field at Arrowhead Stadium (Neutral Site)</x:v>
      </x:c>
      <x:c r="J89" s="20" t="str"/>
    </x:row>
    <x:row r="90">
      <x:c r="A90" s="20" t="str">
        <x:v>M089</x:v>
      </x:c>
      <x:c r="B90" s="20" t="str">
        <x:v>Round of 16</x:v>
      </x:c>
      <x:c r="C90" s="20" t="str"/>
      <x:c r="D90" s="21" t="n">
        <x:v>46207</x:v>
      </x:c>
      <x:c r="E90" s="20" t="str">
        <x:v>Canada</x:v>
      </x:c>
      <x:c r="F90" s="22" t="n">
        <x:v>0</x:v>
      </x:c>
      <x:c r="G90" s="22" t="str">
        <x:v>Morocco</x:v>
      </x:c>
      <x:c r="H90" s="22" t="n">
        <x:v>3</x:v>
      </x:c>
      <x:c r="I90" s="20" t="str">
        <x:v>Reliant Stadium (Neutral Site)</x:v>
      </x:c>
      <x:c r="J90" s="20" t="str"/>
    </x:row>
    <x:row r="91">
      <x:c r="A91" s="20" t="str">
        <x:v>M090</x:v>
      </x:c>
      <x:c r="B91" s="20" t="str">
        <x:v>Round of 16</x:v>
      </x:c>
      <x:c r="C91" s="20" t="str"/>
      <x:c r="D91" s="21" t="n">
        <x:v>46207</x:v>
      </x:c>
      <x:c r="E91" s="20" t="str">
        <x:v>Paraguay</x:v>
      </x:c>
      <x:c r="F91" s="22" t="n">
        <x:v>0</x:v>
      </x:c>
      <x:c r="G91" s="22" t="str">
        <x:v>France</x:v>
      </x:c>
      <x:c r="H91" s="22" t="n">
        <x:v>1</x:v>
      </x:c>
      <x:c r="I91" s="20" t="str">
        <x:v>Lincoln Financial Field (Neutral Site)</x:v>
      </x:c>
      <x:c r="J91" s="20" t="str"/>
    </x:row>
    <x:row r="92">
      <x:c r="A92" s="20" t="str">
        <x:v>M091</x:v>
      </x:c>
      <x:c r="B92" s="20" t="str">
        <x:v>Round of 16</x:v>
      </x:c>
      <x:c r="C92" s="20" t="str"/>
      <x:c r="D92" s="21" t="n">
        <x:v>46208</x:v>
      </x:c>
      <x:c r="E92" s="20" t="str">
        <x:v>Brazil</x:v>
      </x:c>
      <x:c r="F92" s="22" t="n">
        <x:v>1</x:v>
      </x:c>
      <x:c r="G92" s="22" t="str">
        <x:v>Norway</x:v>
      </x:c>
      <x:c r="H92" s="22" t="n">
        <x:v>2</x:v>
      </x:c>
      <x:c r="I92" s="20" t="str">
        <x:v>MetLife Stadium (Neutral Site)</x:v>
      </x:c>
      <x:c r="J92" s="20" t="str"/>
    </x:row>
    <x:row r="93">
      <x:c r="A93" s="20" t="str">
        <x:v>M092</x:v>
      </x:c>
      <x:c r="B93" s="20" t="str">
        <x:v>Round of 16</x:v>
      </x:c>
      <x:c r="C93" s="20" t="str"/>
      <x:c r="D93" s="21" t="n">
        <x:v>46208</x:v>
      </x:c>
      <x:c r="E93" s="20" t="str">
        <x:v>Mexico</x:v>
      </x:c>
      <x:c r="F93" s="22" t="n">
        <x:v>2</x:v>
      </x:c>
      <x:c r="G93" s="22" t="str">
        <x:v>England</x:v>
      </x:c>
      <x:c r="H93" s="22" t="n">
        <x:v>3</x:v>
      </x:c>
      <x:c r="I93" s="20" t="str">
        <x:v>Estadio Banorte (Neutral Site)</x:v>
      </x:c>
      <x:c r="J93" s="20" t="str"/>
    </x:row>
    <x:row r="94">
      <x:c r="A94" s="20" t="str">
        <x:v>M093</x:v>
      </x:c>
      <x:c r="B94" s="20" t="str">
        <x:v>Round of 16</x:v>
      </x:c>
      <x:c r="C94" s="20" t="str"/>
      <x:c r="D94" s="21" t="n">
        <x:v>46209</x:v>
      </x:c>
      <x:c r="E94" s="20" t="str">
        <x:v>Portugal</x:v>
      </x:c>
      <x:c r="F94" s="22" t="n">
        <x:v>0</x:v>
      </x:c>
      <x:c r="G94" s="22" t="str">
        <x:v>Spain</x:v>
      </x:c>
      <x:c r="H94" s="22" t="n">
        <x:v>1</x:v>
      </x:c>
      <x:c r="I94" s="20" t="str">
        <x:v>AT&amp;T Stadium (Neutral Site)</x:v>
      </x:c>
      <x:c r="J94" s="20" t="str"/>
    </x:row>
    <x:row r="95">
      <x:c r="A95" s="20" t="str">
        <x:v>M094</x:v>
      </x:c>
      <x:c r="B95" s="20" t="str">
        <x:v>Round of 16</x:v>
      </x:c>
      <x:c r="C95" s="20" t="str"/>
      <x:c r="D95" s="21" t="n">
        <x:v>46209</x:v>
      </x:c>
      <x:c r="E95" s="20" t="str">
        <x:v>USA</x:v>
      </x:c>
      <x:c r="F95" s="22" t="n">
        <x:v>1</x:v>
      </x:c>
      <x:c r="G95" s="22" t="str">
        <x:v>Belgium</x:v>
      </x:c>
      <x:c r="H95" s="22" t="n">
        <x:v>4</x:v>
      </x:c>
      <x:c r="I95" s="20" t="str">
        <x:v>Lumen Field (Neutral Site)</x:v>
      </x:c>
      <x:c r="J95" s="20" t="str"/>
    </x:row>
    <x:row r="96">
      <x:c r="A96" s="20" t="str">
        <x:v>M095</x:v>
      </x:c>
      <x:c r="B96" s="20" t="str">
        <x:v>Round of 16</x:v>
      </x:c>
      <x:c r="C96" s="20" t="str"/>
      <x:c r="D96" s="21" t="n">
        <x:v>46210</x:v>
      </x:c>
      <x:c r="E96" s="20" t="str">
        <x:v>Argentina</x:v>
      </x:c>
      <x:c r="F96" s="22" t="n">
        <x:v>3</x:v>
      </x:c>
      <x:c r="G96" s="22" t="str">
        <x:v>Egypt</x:v>
      </x:c>
      <x:c r="H96" s="22" t="n">
        <x:v>2</x:v>
      </x:c>
      <x:c r="I96" s="20" t="str">
        <x:v>Mercedes-Benz Stadium (Neutral Site)</x:v>
      </x:c>
      <x:c r="J96" s="20" t="str"/>
    </x:row>
    <x:row r="97">
      <x:c r="A97" s="20" t="str">
        <x:v>M096</x:v>
      </x:c>
      <x:c r="B97" s="20" t="str">
        <x:v>Round of 16</x:v>
      </x:c>
      <x:c r="C97" s="20" t="str"/>
      <x:c r="D97" s="21" t="n">
        <x:v>46210</x:v>
      </x:c>
      <x:c r="E97" s="20" t="str">
        <x:v>Switzerland</x:v>
      </x:c>
      <x:c r="F97" s="22" t="n">
        <x:v>0</x:v>
      </x:c>
      <x:c r="G97" s="22" t="str">
        <x:v>Colombia</x:v>
      </x:c>
      <x:c r="H97" s="22" t="n">
        <x:v>0</x:v>
      </x:c>
      <x:c r="I97" s="20" t="str">
        <x:v>BC Place Stadium (Neutral Site)</x:v>
      </x:c>
      <x:c r="J97" s="20" t="str">
        <x:v>Switzerland won a penalty shoot-out following extra time</x:v>
      </x:c>
    </x:row>
    <x:row r="98">
      <x:c r="A98" s="20" t="str">
        <x:v>M097</x:v>
      </x:c>
      <x:c r="B98" s="20" t="str">
        <x:v>Quarter-finals</x:v>
      </x:c>
      <x:c r="C98" s="20" t="str"/>
      <x:c r="D98" s="21" t="n">
        <x:v>46212</x:v>
      </x:c>
      <x:c r="E98" s="20" t="str">
        <x:v>France</x:v>
      </x:c>
      <x:c r="F98" s="22" t="n">
        <x:v>2</x:v>
      </x:c>
      <x:c r="G98" s="22" t="str">
        <x:v>Morocco</x:v>
      </x:c>
      <x:c r="H98" s="22" t="n">
        <x:v>0</x:v>
      </x:c>
      <x:c r="I98" s="20" t="str">
        <x:v>Gillette Stadium (Neutral Site)</x:v>
      </x:c>
      <x:c r="J98" s="20" t="str"/>
    </x:row>
    <x:row r="99">
      <x:c r="A99" s="20" t="str">
        <x:v>M098</x:v>
      </x:c>
      <x:c r="B99" s="20" t="str">
        <x:v>Quarter-finals</x:v>
      </x:c>
      <x:c r="C99" s="20" t="str"/>
      <x:c r="D99" s="21" t="n">
        <x:v>46213</x:v>
      </x:c>
      <x:c r="E99" s="20" t="str">
        <x:v>Spain</x:v>
      </x:c>
      <x:c r="F99" s="22" t="n">
        <x:v>2</x:v>
      </x:c>
      <x:c r="G99" s="22" t="str">
        <x:v>Belgium</x:v>
      </x:c>
      <x:c r="H99" s="22" t="n">
        <x:v>1</x:v>
      </x:c>
      <x:c r="I99" s="20" t="str">
        <x:v>SoFi Stadium (Neutral Site)</x:v>
      </x:c>
      <x:c r="J99" s="20" t="str"/>
    </x:row>
    <x:row r="100">
      <x:c r="A100" s="20" t="str">
        <x:v>M099</x:v>
      </x:c>
      <x:c r="B100" s="20" t="str">
        <x:v>Quarter-finals</x:v>
      </x:c>
      <x:c r="C100" s="20" t="str"/>
      <x:c r="D100" s="21" t="n">
        <x:v>46214</x:v>
      </x:c>
      <x:c r="E100" s="20" t="str">
        <x:v>Norway</x:v>
      </x:c>
      <x:c r="F100" s="22" t="n">
        <x:v>1</x:v>
      </x:c>
      <x:c r="G100" s="22" t="str">
        <x:v>England</x:v>
      </x:c>
      <x:c r="H100" s="22" t="n">
        <x:v>2</x:v>
      </x:c>
      <x:c r="I100" s="20" t="str">
        <x:v>Hard Rock Stadium (Neutral Site)</x:v>
      </x:c>
      <x:c r="J100" s="20" t="str">
        <x:v>Required Extra Time</x:v>
      </x:c>
    </x:row>
    <x:row r="101">
      <x:c r="A101" s="20" t="str">
        <x:v>M100</x:v>
      </x:c>
      <x:c r="B101" s="20" t="str">
        <x:v>Quarter-finals</x:v>
      </x:c>
      <x:c r="C101" s="20" t="str"/>
      <x:c r="D101" s="21" t="n">
        <x:v>46214</x:v>
      </x:c>
      <x:c r="E101" s="20" t="str">
        <x:v>Argentina</x:v>
      </x:c>
      <x:c r="F101" s="22" t="n">
        <x:v>3</x:v>
      </x:c>
      <x:c r="G101" s="22" t="str">
        <x:v>Switzerland</x:v>
      </x:c>
      <x:c r="H101" s="22" t="n">
        <x:v>1</x:v>
      </x:c>
      <x:c r="I101" s="20" t="str">
        <x:v>GEHA Field at Arrowhead Stadium (Neutral Site)</x:v>
      </x:c>
      <x:c r="J101" s="20" t="str">
        <x:v>Required Extra Time</x:v>
      </x:c>
    </x:row>
    <x:row r="102">
      <x:c r="A102" s="20" t="str">
        <x:v>M101</x:v>
      </x:c>
      <x:c r="B102" s="20" t="str">
        <x:v>Semi-finals</x:v>
      </x:c>
      <x:c r="C102" s="20" t="str"/>
      <x:c r="D102" s="21" t="n">
        <x:v>46217</x:v>
      </x:c>
      <x:c r="E102" s="20" t="str">
        <x:v>France</x:v>
      </x:c>
      <x:c r="F102" s="22" t="n">
        <x:v>0</x:v>
      </x:c>
      <x:c r="G102" s="22" t="str">
        <x:v>Spain</x:v>
      </x:c>
      <x:c r="H102" s="22" t="n">
        <x:v>2</x:v>
      </x:c>
      <x:c r="I102" s="20" t="str">
        <x:v>AT&amp;T Stadium (Neutral Site)</x:v>
      </x:c>
      <x:c r="J102" s="20" t="str"/>
    </x:row>
    <x:row r="103">
      <x:c r="A103" s="20" t="str">
        <x:v>M102</x:v>
      </x:c>
      <x:c r="B103" s="20" t="str">
        <x:v>Semi-finals</x:v>
      </x:c>
      <x:c r="C103" s="20" t="str"/>
      <x:c r="D103" s="21" t="n">
        <x:v>46218</x:v>
      </x:c>
      <x:c r="E103" s="20" t="str">
        <x:v>England</x:v>
      </x:c>
      <x:c r="F103" s="22" t="n">
        <x:v>1</x:v>
      </x:c>
      <x:c r="G103" s="22" t="str">
        <x:v>Argentina</x:v>
      </x:c>
      <x:c r="H103" s="22" t="n">
        <x:v>2</x:v>
      </x:c>
      <x:c r="I103" s="20" t="str">
        <x:v>Mercedes-Benz Stadium (Neutral Site)</x:v>
      </x:c>
      <x:c r="J103" s="20" t="str"/>
    </x:row>
    <x:row r="104">
      <x:c r="A104" s="20" t="str">
        <x:v>M103</x:v>
      </x:c>
      <x:c r="B104" s="20" t="str">
        <x:v>Third-place match</x:v>
      </x:c>
      <x:c r="C104" s="20" t="str"/>
      <x:c r="D104" s="21" t="n">
        <x:v>46221</x:v>
      </x:c>
      <x:c r="E104" s="20" t="str">
        <x:v>France</x:v>
      </x:c>
      <x:c r="F104" s="22" t="n">
        <x:v>4</x:v>
      </x:c>
      <x:c r="G104" s="22" t="str">
        <x:v>England</x:v>
      </x:c>
      <x:c r="H104" s="22" t="n">
        <x:v>6</x:v>
      </x:c>
      <x:c r="I104" s="20" t="str">
        <x:v>Hard Rock Stadium (Neutral Site)</x:v>
      </x:c>
      <x:c r="J104" s="20" t="str"/>
    </x:row>
    <x:row r="105">
      <x:c r="A105" s="20" t="str">
        <x:v>M104</x:v>
      </x:c>
      <x:c r="B105" s="20" t="str">
        <x:v>Final</x:v>
      </x:c>
      <x:c r="C105" s="20" t="str"/>
      <x:c r="D105" s="21" t="n">
        <x:v>46222</x:v>
      </x:c>
      <x:c r="E105" s="20" t="str">
        <x:v>Spain</x:v>
      </x:c>
      <x:c r="F105" s="22" t="n">
        <x:v>1</x:v>
      </x:c>
      <x:c r="G105" s="22" t="str">
        <x:v>Argentina</x:v>
      </x:c>
      <x:c r="H105" s="22" t="n">
        <x:v>0</x:v>
      </x:c>
      <x:c r="I105" s="20" t="str">
        <x:v>MetLife Stadium (Neutral Site)</x:v>
      </x:c>
      <x:c r="J105" s="20" t="str">
        <x:v>Required Extra Time</x:v>
      </x:c>
    </x:row>
  </x:sheetData>
  <x:pageMargins left="0.7" right="0.7" top="0.75" bottom="0.75" header="0.3" footer="0.3"/>
  <x:tableParts count="1">
    <x:tablePart xmlns:r="http://schemas.openxmlformats.org/officeDocument/2006/relationships" r:id="R76a4240298c14ea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48" customHeight="1">
      <x:c r="A1" s="12" t="str">
        <x:v>Team</x:v>
      </x:c>
      <x:c r="B1" s="12" t="str">
        <x:v>FIFA Rank by Goals Conceded</x:v>
      </x:c>
      <x:c r="C1" s="12" t="str">
        <x:v>Clean Sheets</x:v>
      </x:c>
      <x:c r="D1" s="12" t="str">
        <x:v>Goals Conceded</x:v>
      </x:c>
    </x:row>
    <x:row r="2">
      <x:c r="A2" s="20" t="str">
        <x:v>Iraq</x:v>
      </x:c>
      <x:c r="B2" s="22" t="n">
        <x:v>1</x:v>
      </x:c>
      <x:c r="C2" s="22" t="n">
        <x:v>0</x:v>
      </x:c>
      <x:c r="D2" s="22" t="n">
        <x:v>12</x:v>
      </x:c>
    </x:row>
    <x:row r="3">
      <x:c r="A3" s="20" t="str">
        <x:v>Tunisia</x:v>
      </x:c>
      <x:c r="B3" s="22" t="n">
        <x:v>1</x:v>
      </x:c>
      <x:c r="C3" s="22" t="n">
        <x:v>0</x:v>
      </x:c>
      <x:c r="D3" s="22" t="n">
        <x:v>12</x:v>
      </x:c>
    </x:row>
    <x:row r="4">
      <x:c r="A4" s="20" t="str">
        <x:v>England</x:v>
      </x:c>
      <x:c r="B4" s="22" t="n">
        <x:v>1</x:v>
      </x:c>
      <x:c r="C4" s="22" t="n">
        <x:v>2</x:v>
      </x:c>
      <x:c r="D4" s="22" t="n">
        <x:v>12</x:v>
      </x:c>
    </x:row>
    <x:row r="5">
      <x:c r="A5" s="20" t="str">
        <x:v>Uzbekistan</x:v>
      </x:c>
      <x:c r="B5" s="22" t="n">
        <x:v>4</x:v>
      </x:c>
      <x:c r="C5" s="22" t="n">
        <x:v>0</x:v>
      </x:c>
      <x:c r="D5" s="22" t="n">
        <x:v>11</x:v>
      </x:c>
    </x:row>
    <x:row r="6">
      <x:c r="A6" s="20" t="str">
        <x:v>Norway</x:v>
      </x:c>
      <x:c r="B6" s="22" t="n">
        <x:v>4</x:v>
      </x:c>
      <x:c r="C6" s="22" t="n">
        <x:v>0</x:v>
      </x:c>
      <x:c r="D6" s="22" t="n">
        <x:v>11</x:v>
      </x:c>
    </x:row>
    <x:row r="7">
      <x:c r="A7" s="20" t="str">
        <x:v>New Zealand</x:v>
      </x:c>
      <x:c r="B7" s="22" t="n">
        <x:v>6</x:v>
      </x:c>
      <x:c r="C7" s="22" t="n">
        <x:v>0</x:v>
      </x:c>
      <x:c r="D7" s="22" t="n">
        <x:v>10</x:v>
      </x:c>
    </x:row>
    <x:row r="8">
      <x:c r="A8" s="20" t="str">
        <x:v>Sweden</x:v>
      </x:c>
      <x:c r="B8" s="22" t="n">
        <x:v>6</x:v>
      </x:c>
      <x:c r="C8" s="22" t="n">
        <x:v>0</x:v>
      </x:c>
      <x:c r="D8" s="22" t="n">
        <x:v>10</x:v>
      </x:c>
    </x:row>
    <x:row r="9">
      <x:c r="A9" s="20" t="str">
        <x:v>France</x:v>
      </x:c>
      <x:c r="B9" s="22" t="n">
        <x:v>6</x:v>
      </x:c>
      <x:c r="C9" s="22" t="n">
        <x:v>4</x:v>
      </x:c>
      <x:c r="D9" s="22" t="n">
        <x:v>10</x:v>
      </x:c>
    </x:row>
    <x:row r="10">
      <x:c r="A10" s="20" t="str">
        <x:v>Qatar</x:v>
      </x:c>
      <x:c r="B10" s="22" t="n">
        <x:v>6</x:v>
      </x:c>
      <x:c r="C10" s="22" t="n">
        <x:v>0</x:v>
      </x:c>
      <x:c r="D10" s="22" t="n">
        <x:v>10</x:v>
      </x:c>
    </x:row>
    <x:row r="11">
      <x:c r="A11" s="20" t="str">
        <x:v>Curaçao</x:v>
      </x:c>
      <x:c r="B11" s="22" t="n">
        <x:v>10</x:v>
      </x:c>
      <x:c r="C11" s="22" t="n">
        <x:v>1</x:v>
      </x:c>
      <x:c r="D11" s="22" t="n">
        <x:v>9</x:v>
      </x:c>
    </x:row>
    <x:row r="12">
      <x:c r="A12" s="20" t="str">
        <x:v>Senegal</x:v>
      </x:c>
      <x:c r="B12" s="22" t="n">
        <x:v>10</x:v>
      </x:c>
      <x:c r="C12" s="22" t="n">
        <x:v>1</x:v>
      </x:c>
      <x:c r="D12" s="22" t="n">
        <x:v>9</x:v>
      </x:c>
    </x:row>
    <x:row r="13">
      <x:c r="A13" s="20" t="str">
        <x:v>Algeria</x:v>
      </x:c>
      <x:c r="B13" s="22" t="n">
        <x:v>10</x:v>
      </x:c>
      <x:c r="C13" s="22" t="n">
        <x:v>0</x:v>
      </x:c>
      <x:c r="D13" s="22" t="n">
        <x:v>9</x:v>
      </x:c>
    </x:row>
    <x:row r="14">
      <x:c r="A14" s="20" t="str">
        <x:v>Austria</x:v>
      </x:c>
      <x:c r="B14" s="22" t="n">
        <x:v>10</x:v>
      </x:c>
      <x:c r="C14" s="22" t="n">
        <x:v>0</x:v>
      </x:c>
      <x:c r="D14" s="22" t="n">
        <x:v>9</x:v>
      </x:c>
    </x:row>
    <x:row r="15">
      <x:c r="A15" s="20" t="str">
        <x:v>Jordan</x:v>
      </x:c>
      <x:c r="B15" s="22" t="n">
        <x:v>14</x:v>
      </x:c>
      <x:c r="C15" s="22" t="n">
        <x:v>0</x:v>
      </x:c>
      <x:c r="D15" s="22" t="n">
        <x:v>8</x:v>
      </x:c>
    </x:row>
    <x:row r="16">
      <x:c r="A16" s="20" t="str">
        <x:v>Haiti</x:v>
      </x:c>
      <x:c r="B16" s="22" t="n">
        <x:v>14</x:v>
      </x:c>
      <x:c r="C16" s="22" t="n">
        <x:v>0</x:v>
      </x:c>
      <x:c r="D16" s="22" t="n">
        <x:v>8</x:v>
      </x:c>
    </x:row>
    <x:row r="17">
      <x:c r="A17" s="20" t="str">
        <x:v>Argentina</x:v>
      </x:c>
      <x:c r="B17" s="22" t="n">
        <x:v>14</x:v>
      </x:c>
      <x:c r="C17" s="22" t="n">
        <x:v>2</x:v>
      </x:c>
      <x:c r="D17" s="22" t="n">
        <x:v>8</x:v>
      </x:c>
    </x:row>
    <x:row r="18">
      <x:c r="A18" s="20" t="str">
        <x:v>Bosnia and Herzegovina</x:v>
      </x:c>
      <x:c r="B18" s="22" t="n">
        <x:v>14</x:v>
      </x:c>
      <x:c r="C18" s="22" t="n">
        <x:v>0</x:v>
      </x:c>
      <x:c r="D18" s="22" t="n">
        <x:v>8</x:v>
      </x:c>
    </x:row>
    <x:row r="19">
      <x:c r="A19" s="20" t="str">
        <x:v>USA</x:v>
      </x:c>
      <x:c r="B19" s="22" t="n">
        <x:v>14</x:v>
      </x:c>
      <x:c r="C19" s="22" t="n">
        <x:v>2</x:v>
      </x:c>
      <x:c r="D19" s="22" t="n">
        <x:v>8</x:v>
      </x:c>
    </x:row>
    <x:row r="20">
      <x:c r="A20" s="20" t="str">
        <x:v>Belgium</x:v>
      </x:c>
      <x:c r="B20" s="22" t="n">
        <x:v>19</x:v>
      </x:c>
      <x:c r="C20" s="22" t="n">
        <x:v>1</x:v>
      </x:c>
      <x:c r="D20" s="22" t="n">
        <x:v>7</x:v>
      </x:c>
    </x:row>
    <x:row r="21">
      <x:c r="A21" s="20" t="str">
        <x:v>Egypt</x:v>
      </x:c>
      <x:c r="B21" s="22" t="n">
        <x:v>19</x:v>
      </x:c>
      <x:c r="C21" s="22" t="n">
        <x:v>0</x:v>
      </x:c>
      <x:c r="D21" s="22" t="n">
        <x:v>7</x:v>
      </x:c>
    </x:row>
    <x:row r="22">
      <x:c r="A22" s="20" t="str">
        <x:v>Croatia</x:v>
      </x:c>
      <x:c r="B22" s="22" t="n">
        <x:v>19</x:v>
      </x:c>
      <x:c r="C22" s="22" t="n">
        <x:v>1</x:v>
      </x:c>
      <x:c r="D22" s="22" t="n">
        <x:v>7</x:v>
      </x:c>
    </x:row>
    <x:row r="23">
      <x:c r="A23" s="20" t="str">
        <x:v>Switzerland</x:v>
      </x:c>
      <x:c r="B23" s="22" t="n">
        <x:v>22</x:v>
      </x:c>
      <x:c r="C23" s="22" t="n">
        <x:v>2</x:v>
      </x:c>
      <x:c r="D23" s="22" t="n">
        <x:v>6</x:v>
      </x:c>
    </x:row>
    <x:row r="24">
      <x:c r="A24" s="20" t="str">
        <x:v>Czechia</x:v>
      </x:c>
      <x:c r="B24" s="22" t="n">
        <x:v>22</x:v>
      </x:c>
      <x:c r="C24" s="22" t="n">
        <x:v>0</x:v>
      </x:c>
      <x:c r="D24" s="22" t="n">
        <x:v>6</x:v>
      </x:c>
    </x:row>
    <x:row r="25">
      <x:c r="A25" s="20" t="str">
        <x:v>Morocco</x:v>
      </x:c>
      <x:c r="B25" s="22" t="n">
        <x:v>22</x:v>
      </x:c>
      <x:c r="C25" s="22" t="n">
        <x:v>2</x:v>
      </x:c>
      <x:c r="D25" s="22" t="n">
        <x:v>6</x:v>
      </x:c>
    </x:row>
    <x:row r="26">
      <x:c r="A26" s="20" t="str">
        <x:v>Canada</x:v>
      </x:c>
      <x:c r="B26" s="22" t="n">
        <x:v>22</x:v>
      </x:c>
      <x:c r="C26" s="22" t="n">
        <x:v>2</x:v>
      </x:c>
      <x:c r="D26" s="22" t="n">
        <x:v>6</x:v>
      </x:c>
    </x:row>
    <x:row r="27">
      <x:c r="A27" s="20" t="str">
        <x:v>Paraguay</x:v>
      </x:c>
      <x:c r="B27" s="22" t="n">
        <x:v>22</x:v>
      </x:c>
      <x:c r="C27" s="22" t="n">
        <x:v>2</x:v>
      </x:c>
      <x:c r="D27" s="22" t="n">
        <x:v>6</x:v>
      </x:c>
    </x:row>
    <x:row r="28">
      <x:c r="A28" s="20" t="str">
        <x:v>Türkiye</x:v>
      </x:c>
      <x:c r="B28" s="22" t="n">
        <x:v>27</x:v>
      </x:c>
      <x:c r="C28" s="22" t="n">
        <x:v>0</x:v>
      </x:c>
      <x:c r="D28" s="22" t="n">
        <x:v>5</x:v>
      </x:c>
    </x:row>
    <x:row r="29">
      <x:c r="A29" s="20" t="str">
        <x:v>Saudi Arabia</x:v>
      </x:c>
      <x:c r="B29" s="22" t="n">
        <x:v>27</x:v>
      </x:c>
      <x:c r="C29" s="22" t="n">
        <x:v>1</x:v>
      </x:c>
      <x:c r="D29" s="22" t="n">
        <x:v>5</x:v>
      </x:c>
    </x:row>
    <x:row r="30">
      <x:c r="A30" s="20" t="str">
        <x:v>Netherlands</x:v>
      </x:c>
      <x:c r="B30" s="22" t="n">
        <x:v>27</x:v>
      </x:c>
      <x:c r="C30" s="22" t="n">
        <x:v>0</x:v>
      </x:c>
      <x:c r="D30" s="22" t="n">
        <x:v>5</x:v>
      </x:c>
    </x:row>
    <x:row r="31">
      <x:c r="A31" s="20" t="str">
        <x:v>Congo DR</x:v>
      </x:c>
      <x:c r="B31" s="22" t="n">
        <x:v>27</x:v>
      </x:c>
      <x:c r="C31" s="22" t="n">
        <x:v>0</x:v>
      </x:c>
      <x:c r="D31" s="22" t="n">
        <x:v>5</x:v>
      </x:c>
    </x:row>
    <x:row r="32">
      <x:c r="A32" s="20" t="str">
        <x:v>Germany</x:v>
      </x:c>
      <x:c r="B32" s="22" t="n">
        <x:v>27</x:v>
      </x:c>
      <x:c r="C32" s="22" t="n">
        <x:v>0</x:v>
      </x:c>
      <x:c r="D32" s="22" t="n">
        <x:v>5</x:v>
      </x:c>
    </x:row>
    <x:row r="33">
      <x:c r="A33" s="20" t="str">
        <x:v>Japan</x:v>
      </x:c>
      <x:c r="B33" s="22" t="n">
        <x:v>27</x:v>
      </x:c>
      <x:c r="C33" s="22" t="n">
        <x:v>1</x:v>
      </x:c>
      <x:c r="D33" s="22" t="n">
        <x:v>5</x:v>
      </x:c>
    </x:row>
    <x:row r="34">
      <x:c r="A34" s="20" t="str">
        <x:v>Cabo Verde</x:v>
      </x:c>
      <x:c r="B34" s="22" t="n">
        <x:v>27</x:v>
      </x:c>
      <x:c r="C34" s="22" t="n">
        <x:v>2</x:v>
      </x:c>
      <x:c r="D34" s="22" t="n">
        <x:v>5</x:v>
      </x:c>
    </x:row>
    <x:row r="35">
      <x:c r="A35" s="20" t="str">
        <x:v>Uruguay</x:v>
      </x:c>
      <x:c r="B35" s="22" t="n">
        <x:v>34</x:v>
      </x:c>
      <x:c r="C35" s="22" t="n">
        <x:v>0</x:v>
      </x:c>
      <x:c r="D35" s="22" t="n">
        <x:v>4</x:v>
      </x:c>
    </x:row>
    <x:row r="36">
      <x:c r="A36" s="20" t="str">
        <x:v>Scotland</x:v>
      </x:c>
      <x:c r="B36" s="22" t="n">
        <x:v>34</x:v>
      </x:c>
      <x:c r="C36" s="22" t="n">
        <x:v>1</x:v>
      </x:c>
      <x:c r="D36" s="22" t="n">
        <x:v>4</x:v>
      </x:c>
    </x:row>
    <x:row r="37">
      <x:c r="A37" s="20" t="str">
        <x:v>South Africa</x:v>
      </x:c>
      <x:c r="B37" s="22" t="n">
        <x:v>34</x:v>
      </x:c>
      <x:c r="C37" s="22" t="n">
        <x:v>1</x:v>
      </x:c>
      <x:c r="D37" s="22" t="n">
        <x:v>4</x:v>
      </x:c>
    </x:row>
    <x:row r="38">
      <x:c r="A38" s="20" t="str">
        <x:v>Panama</x:v>
      </x:c>
      <x:c r="B38" s="22" t="n">
        <x:v>34</x:v>
      </x:c>
      <x:c r="C38" s="22" t="n">
        <x:v>0</x:v>
      </x:c>
      <x:c r="D38" s="22" t="n">
        <x:v>4</x:v>
      </x:c>
    </x:row>
    <x:row r="39">
      <x:c r="A39" s="20" t="str">
        <x:v>Brazil</x:v>
      </x:c>
      <x:c r="B39" s="22" t="n">
        <x:v>34</x:v>
      </x:c>
      <x:c r="C39" s="22" t="n">
        <x:v>2</x:v>
      </x:c>
      <x:c r="D39" s="22" t="n">
        <x:v>4</x:v>
      </x:c>
    </x:row>
    <x:row r="40">
      <x:c r="A40" s="20" t="str">
        <x:v>Côte d'Ivoire</x:v>
      </x:c>
      <x:c r="B40" s="22" t="n">
        <x:v>34</x:v>
      </x:c>
      <x:c r="C40" s="22" t="n">
        <x:v>2</x:v>
      </x:c>
      <x:c r="D40" s="22" t="n">
        <x:v>4</x:v>
      </x:c>
    </x:row>
    <x:row r="41">
      <x:c r="A41" s="20" t="str">
        <x:v>Ecuador</x:v>
      </x:c>
      <x:c r="B41" s="22" t="n">
        <x:v>34</x:v>
      </x:c>
      <x:c r="C41" s="22" t="n">
        <x:v>1</x:v>
      </x:c>
      <x:c r="D41" s="22" t="n">
        <x:v>4</x:v>
      </x:c>
    </x:row>
    <x:row r="42">
      <x:c r="A42" s="20" t="str">
        <x:v>Ghana</x:v>
      </x:c>
      <x:c r="B42" s="22" t="n">
        <x:v>41</x:v>
      </x:c>
      <x:c r="C42" s="22" t="n">
        <x:v>2</x:v>
      </x:c>
      <x:c r="D42" s="22" t="n">
        <x:v>3</x:v>
      </x:c>
    </x:row>
    <x:row r="43">
      <x:c r="A43" s="20" t="str">
        <x:v>IR Iran</x:v>
      </x:c>
      <x:c r="B43" s="22" t="n">
        <x:v>41</x:v>
      </x:c>
      <x:c r="C43" s="22" t="n">
        <x:v>1</x:v>
      </x:c>
      <x:c r="D43" s="22" t="n">
        <x:v>3</x:v>
      </x:c>
    </x:row>
    <x:row r="44">
      <x:c r="A44" s="20" t="str">
        <x:v>Portugal</x:v>
      </x:c>
      <x:c r="B44" s="22" t="n">
        <x:v>41</x:v>
      </x:c>
      <x:c r="C44" s="22" t="n">
        <x:v>2</x:v>
      </x:c>
      <x:c r="D44" s="22" t="n">
        <x:v>3</x:v>
      </x:c>
    </x:row>
    <x:row r="45">
      <x:c r="A45" s="20" t="str">
        <x:v>Mexico</x:v>
      </x:c>
      <x:c r="B45" s="22" t="n">
        <x:v>41</x:v>
      </x:c>
      <x:c r="C45" s="22" t="n">
        <x:v>4</x:v>
      </x:c>
      <x:c r="D45" s="22" t="n">
        <x:v>3</x:v>
      </x:c>
    </x:row>
    <x:row r="46">
      <x:c r="A46" s="20" t="str">
        <x:v>Australia</x:v>
      </x:c>
      <x:c r="B46" s="22" t="n">
        <x:v>41</x:v>
      </x:c>
      <x:c r="C46" s="22" t="n">
        <x:v>2</x:v>
      </x:c>
      <x:c r="D46" s="22" t="n">
        <x:v>3</x:v>
      </x:c>
    </x:row>
    <x:row r="47">
      <x:c r="A47" s="20" t="str">
        <x:v>Korea Republic</x:v>
      </x:c>
      <x:c r="B47" s="22" t="n">
        <x:v>41</x:v>
      </x:c>
      <x:c r="C47" s="22" t="n">
        <x:v>0</x:v>
      </x:c>
      <x:c r="D47" s="22" t="n">
        <x:v>3</x:v>
      </x:c>
    </x:row>
    <x:row r="48">
      <x:c r="A48" s="20" t="str">
        <x:v>Colombia</x:v>
      </x:c>
      <x:c r="B48" s="22" t="n">
        <x:v>47</x:v>
      </x:c>
      <x:c r="C48" s="22" t="n">
        <x:v>4</x:v>
      </x:c>
      <x:c r="D48" s="22" t="n">
        <x:v>1</x:v>
      </x:c>
    </x:row>
    <x:row r="49">
      <x:c r="A49" s="20" t="str">
        <x:v>Spain</x:v>
      </x:c>
      <x:c r="B49" s="22" t="n">
        <x:v>47</x:v>
      </x:c>
      <x:c r="C49" s="22" t="n">
        <x:v>7</x:v>
      </x:c>
      <x:c r="D49" s="22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9315682700874f6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10" hidden="0" customWidth="1"/>
  </x:cols>
  <x:sheetData>
    <x:row r="1" ht="40" customHeight="1">
      <x:c r="A1" s="28" t="str">
        <x:v>Dataset</x:v>
      </x:c>
      <x:c r="B1" s="29" t="str">
        <x:v>Keke – Team Defence Performance (Assessment 2, HD-focused revision)</x:v>
      </x:c>
    </x:row>
    <x:row r="2" ht="40" customHeight="1">
      <x:c r="A2" s="20" t="str">
        <x:v>Analytic question</x:v>
      </x:c>
      <x:c r="B2" s="20" t="str">
        <x:v>During the group stage, was mean goals conceded per match different between teams that subsequently reached the knockout stage and teams eliminated in the group stage?</x:v>
      </x:c>
    </x:row>
    <x:row r="3" ht="40" customHeight="1">
      <x:c r="A3" s="20" t="str">
        <x:v>Why this question is non-trivial</x:v>
      </x:c>
      <x:c r="B3" s="20" t="str">
        <x:v>It uses only pre-knockout defensive performance to compare later progression groups, avoiding contamination from extra matches played after qualification.</x:v>
      </x:c>
    </x:row>
    <x:row r="4" ht="40" customHeight="1">
      <x:c r="A4" s="20" t="str">
        <x:v>Unit of analysis</x:v>
      </x:c>
      <x:c r="B4" s="20" t="str">
        <x:v>One row per team (48 teams). The primary analysis uses 72 group-stage matches, represented as 144 team-match records before aggregation.</x:v>
      </x:c>
    </x:row>
    <x:row r="5" ht="40" customHeight="1">
      <x:c r="A5" s="20" t="str">
        <x:v>Primary outcome</x:v>
      </x:c>
      <x:c r="B5" s="20" t="str">
        <x:v>Group-stage Goals Conceded per Match = Group-stage Goals Conceded / Group-stage Matches (formula in Final_Data column G).</x:v>
      </x:c>
    </x:row>
    <x:row r="6" ht="40" customHeight="1">
      <x:c r="A6" s="20" t="str">
        <x:v>Creative supporting variables</x:v>
      </x:c>
      <x:c r="B6" s="20" t="str">
        <x:v>Group-stage Clean Sheet Rate and Group-stage Goal Difference per Match are derived from match-level scores and retained as supporting descriptive variables.</x:v>
      </x:c>
    </x:row>
    <x:row r="7" ht="40" customHeight="1">
      <x:c r="A7" s="20" t="str">
        <x:v>Grouping variable</x:v>
      </x:c>
      <x:c r="B7" s="20" t="str">
        <x:v>Progression Group: Knockout if the team appears in any non-group round; otherwise Group-stage Eliminated.</x:v>
      </x:c>
    </x:row>
    <x:row r="8" ht="40" customHeight="1">
      <x:c r="A8" s="20" t="str">
        <x:v>Sampling method</x:v>
      </x:c>
      <x:c r="B8" s="20" t="str">
        <x:v>Complete census of all 48 eligible tournament teams; no random subsample. Broader generalisation beyond this tournament is limited.</x:v>
      </x:c>
    </x:row>
    <x:row r="9" ht="40" customHeight="1">
      <x:c r="A9" s="20" t="str">
        <x:v>Analysis scope</x:v>
      </x:c>
      <x:c r="B9" s="20" t="str">
        <x:v>Primary outcome uses group-stage matches only. All 104 matches are retained in FBref_Matches to derive progression and validate tournament totals.</x:v>
      </x:c>
    </x:row>
    <x:row r="10" ht="40" customHeight="1">
      <x:c r="A10" s="20" t="str">
        <x:v>FIFA source URL</x:v>
      </x:c>
      <x:c r="B10" s="20" t="str">
        <x:v>https://www.fifa.com/en/tournaments/mens/worldcup/canadamexicousa2026/statistics/team-statistics?group=gct_goalkeeping&amp;stat=goals_conceded</x:v>
      </x:c>
    </x:row>
    <x:row r="11" ht="40" customHeight="1">
      <x:c r="A11" s="20" t="str">
        <x:v>FBref source URL</x:v>
      </x:c>
      <x:c r="B11" s="20" t="str">
        <x:v>https://fbref.com/en/comps/1/schedule/World-Cup-Scores-and-Fixtures</x:v>
      </x:c>
    </x:row>
    <x:row r="12" ht="40" customHeight="1">
      <x:c r="A12" s="20" t="str">
        <x:v>Data accessed / prepared</x:v>
      </x:c>
      <x:c r="B12" s="20" t="str">
        <x:v>2026-09-02</x:v>
      </x:c>
    </x:row>
    <x:row r="13" ht="40" customHeight="1">
      <x:c r="A13" s="20" t="str">
        <x:v>FIFA cleaning</x:v>
      </x:c>
      <x:c r="B13" s="20" t="str">
        <x:v>The copied FIFA table used merged cells and #VALUE! placeholders. Each placeholder row was paired with the following team-name row; the four analysis fields were retained.</x:v>
      </x:c>
    </x:row>
    <x:row r="14" ht="40" customHeight="1">
      <x:c r="A14" s="20" t="str">
        <x:v>FBref cleaning</x:v>
      </x:c>
      <x:c r="B14" s="20" t="str">
        <x:v>Removed blank separator rows; stripped two-/three-letter country codes from team names; mapped Bosnia–Herz to Bosnia and Herzegovina; extracted numeric scores, including penalty shootout annotations.</x:v>
      </x:c>
    </x:row>
    <x:row r="15" ht="40" customHeight="1">
      <x:c r="A15" s="20" t="str">
        <x:v>Validation checks</x:v>
      </x:c>
      <x:c r="B15" s="20" t="str">
        <x:v>48 teams, 104 completed matches, 72 group-stage matches, 144 group-stage team-match records, 32 knockout teams and 16 group-stage-eliminated teams. FIFA and FBref tournament goals conceded agree (308 total).</x:v>
      </x:c>
    </x:row>
    <x:row r="16" ht="40" customHeight="1">
      <x:c r="A16" s="20" t="str">
        <x:v>Inferential method</x:v>
      </x:c>
      <x:c r="B16" s="20" t="str">
        <x:v>Two-sided Welch two-sample t-test with a 95% confidence interval for the mean difference; effect size and bootstrap/permutation sensitivity checks are reported in the Notebook.</x:v>
      </x:c>
    </x:row>
    <x:row r="17" ht="40" customHeight="1">
      <x:c r="A17" s="20" t="str">
        <x:v>Important limitations</x:v>
      </x:c>
      <x:c r="B17" s="20" t="str">
        <x:v>Complete-tournament census rather than random sampling; teams played one another, so strict independence is imperfect; qualification was not randomly assigned; results are associative rather than causal.</x:v>
      </x:c>
    </x:row>
    <x:row r="18" ht="40" customHeight="1">
      <x:c r="A18" s="20" t="str">
        <x:v>Rubric alignment</x:v>
      </x:c>
      <x:c r="B18" s="20" t="str">
        <x:v>Non-trivial timing-aware question; multiple useful derived variables; two-source reproducible wrangling; validation, assumption checks, confidence interval, effect size and sensitivity analysis.</x:v>
      </x:c>
    </x:row>
  </x:sheetData>
  <x:pageMargins left="0.7" right="0.7" top="0.75" bottom="0.75" header="0.3" footer="0.3"/>
</x:worksheet>
</file>